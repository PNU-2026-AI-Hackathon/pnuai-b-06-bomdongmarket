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계산상세" sheetId="2" state="visible" r:id="rId2"/>
    <sheet xmlns:r="http://schemas.openxmlformats.org/officeDocument/2006/relationships" name="월별전력량" sheetId="3" state="visible" r:id="rId3"/>
    <sheet xmlns:r="http://schemas.openxmlformats.org/officeDocument/2006/relationships" name="입력기준" sheetId="4" state="visible" r:id="rId4"/>
    <sheet xmlns:r="http://schemas.openxmlformats.org/officeDocument/2006/relationships" name="검증" sheetId="5" state="visible" r:id="rId5"/>
  </sheets>
  <definedNames>
    <definedName name="_xlnm._FilterDatabase" localSheetId="0" hidden="1">'요약'!$A$4:$AC$13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;[Red](#,##0.0);-"/>
    <numFmt numFmtId="165" formatCode="#,##0;[Red](#,##0);-"/>
    <numFmt numFmtId="166" formatCode="0.0%"/>
    <numFmt numFmtId="167" formatCode="0.0"/>
    <numFmt numFmtId="168" formatCode="0.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475569"/>
    </font>
    <font>
      <name val="맑은 고딕"/>
      <b val="1"/>
      <color rgb="00FFFFFF"/>
    </font>
    <font>
      <name val="맑은 고딕"/>
      <sz val="10"/>
    </font>
    <font>
      <name val="맑은 고딕"/>
      <b val="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medium">
        <color rgb="000B4F4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4E6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rofitScenarioSummary" displayName="ProfitScenarioSummary" ref="A4:AC13" headerRowCount="1">
  <autoFilter ref="A4:AC13"/>
  <tableColumns count="29">
    <tableColumn id="1" name="시나리오ID"/>
    <tableColumn id="2" name="사업장ID"/>
    <tableColumn id="3" name="사업장명"/>
    <tableColumn id="4" name="작물"/>
    <tableColumn id="5" name="공실 전체면적(m²)"/>
    <tableColumn id="6" name="재배면적(m²)"/>
    <tableColumn id="7" name="원하는 월세(원)"/>
    <tableColumn id="8" name="월 총생산량(kg)"/>
    <tableColumn id="9" name="월 판매량(kg)"/>
    <tableColumn id="10" name="월 매출(원)"/>
    <tableColumn id="11" name="월평균 전력량(kWh)"/>
    <tableColumn id="12" name="월 전기비(원)"/>
    <tableColumn id="13" name="배액률"/>
    <tableColumn id="14" name="월 작물 순소비량(m³)"/>
    <tableColumn id="15" name="월 배액량(m³)"/>
    <tableColumn id="16" name="월 기타 용수량(m³)"/>
    <tableColumn id="17" name="월 총 용수량(m³)"/>
    <tableColumn id="18" name="월 수도비(원)"/>
    <tableColumn id="19" name="월 재료비(원)"/>
    <tableColumn id="20" name="월 인건비(원)"/>
    <tableColumn id="21" name="감가상각 등 기타비(원)"/>
    <tableColumn id="22" name="월 운영비(원)"/>
    <tableColumn id="23" name="월 영업이익(원)"/>
    <tableColumn id="24" name="공간 대여자 배분율"/>
    <tableColumn id="25" name="공간 대여자 예상수익(원)"/>
    <tableColumn id="26" name="공실 월세 대비 차이(원)"/>
    <tableColumn id="27" name="사업장 영업이익(원)"/>
    <tableColumn id="28" name="추천 방식"/>
    <tableColumn id="29" name="계약 형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tCalculationDetail" displayName="ProfitCalculationDetail" ref="A3:G282" headerRowCount="1">
  <autoFilter ref="A3:G282"/>
  <tableColumns count="7">
    <tableColumn id="1" name="시나리오ID"/>
    <tableColumn id="2" name="사업장"/>
    <tableColumn id="3" name="작물"/>
    <tableColumn id="4" name="계산 블록"/>
    <tableColumn id="5" name="항목"/>
    <tableColumn id="6" name="값"/>
    <tableColumn id="7" name="단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EnergyDetail" displayName="MonthlyEnergyDetail" ref="A3:L111" headerRowCount="1">
  <autoFilter ref="A3:L111"/>
  <tableColumns count="12">
    <tableColumn id="1" name="시나리오ID"/>
    <tableColumn id="2" name="사업장"/>
    <tableColumn id="3" name="작물"/>
    <tableColumn id="4" name="월"/>
    <tableColumn id="5" name="외기온도(°C)"/>
    <tableColumn id="6" name="외기상대습도"/>
    <tableColumn id="7" name="조명(kWh)"/>
    <tableColumn id="8" name="난방(kWh)"/>
    <tableColumn id="9" name="냉방(kWh)"/>
    <tableColumn id="10" name="제습(kWh)"/>
    <tableColumn id="11" name="가습(kWh)"/>
    <tableColumn id="12" name="총합(kWh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fitInputGuide" displayName="ProfitInputGuide" ref="A3:D14" headerRowCount="1">
  <autoFilter ref="A3:D14"/>
  <tableColumns count="4">
    <tableColumn id="1" name="구분"/>
    <tableColumn id="2" name="항목"/>
    <tableColumn id="3" name="값"/>
    <tableColumn id="4" name="설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fitModelChecks" displayName="ProfitModelChecks" ref="A4:G22" headerRowCount="1">
  <autoFilter ref="A4:G22"/>
  <tableColumns count="7">
    <tableColumn id="1" name="시나리오ID"/>
    <tableColumn id="2" name="검증 항목"/>
    <tableColumn id="3" name="실제값"/>
    <tableColumn id="4" name="기대값"/>
    <tableColumn id="5" name="차이"/>
    <tableColumn id="6" name="허용오차"/>
    <tableColumn id="7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0" customWidth="1" min="4" max="4"/>
    <col width="26" customWidth="1" min="5" max="5"/>
    <col width="20" customWidth="1" min="6" max="6"/>
    <col width="1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5" customWidth="1" min="21" max="21"/>
    <col width="20" customWidth="1" min="22" max="22"/>
    <col width="21" customWidth="1" min="23" max="23"/>
    <col width="12" customWidth="1" min="24" max="24"/>
    <col width="21" customWidth="1" min="25" max="25"/>
    <col width="21" customWidth="1" min="26" max="26"/>
    <col width="21" customWidth="1" min="27" max="27"/>
    <col width="34" customWidth="1" min="28" max="28"/>
    <col width="15" customWidth="1" min="29" max="29"/>
  </cols>
  <sheetData>
    <row r="1" ht="34" customHeight="1">
      <c r="A1" s="1" t="inlineStr">
        <is>
          <t>Profit Calculator 0.3.2 · 3×3 수익성 비교</t>
        </is>
      </c>
    </row>
    <row r="2">
      <c r="A2" s="2" t="inlineStr">
        <is>
          <t>생성 시각</t>
        </is>
      </c>
      <c r="B2" t="inlineStr">
        <is>
          <t>2026-08-01 12:56:16</t>
        </is>
      </c>
      <c r="D2" s="2" t="inlineStr">
        <is>
          <t>분석 기준</t>
        </is>
      </c>
      <c r="E2" t="inlineStr">
        <is>
          <t>3개 공간 × 3개 작물 = 9개 대안 시나리오</t>
        </is>
      </c>
    </row>
    <row r="3"/>
    <row r="4" ht="34" customHeight="1">
      <c r="A4" s="3" t="inlineStr">
        <is>
          <t>시나리오ID</t>
        </is>
      </c>
      <c r="B4" s="3" t="inlineStr">
        <is>
          <t>사업장ID</t>
        </is>
      </c>
      <c r="C4" s="3" t="inlineStr">
        <is>
          <t>사업장명</t>
        </is>
      </c>
      <c r="D4" s="3" t="inlineStr">
        <is>
          <t>작물</t>
        </is>
      </c>
      <c r="E4" s="3" t="inlineStr">
        <is>
          <t>공실 전체면적(m²)</t>
        </is>
      </c>
      <c r="F4" s="3" t="inlineStr">
        <is>
          <t>재배면적(m²)</t>
        </is>
      </c>
      <c r="G4" s="3" t="inlineStr">
        <is>
          <t>원하는 월세(원)</t>
        </is>
      </c>
      <c r="H4" s="3" t="inlineStr">
        <is>
          <t>월 총생산량(kg)</t>
        </is>
      </c>
      <c r="I4" s="3" t="inlineStr">
        <is>
          <t>월 판매량(kg)</t>
        </is>
      </c>
      <c r="J4" s="3" t="inlineStr">
        <is>
          <t>월 매출(원)</t>
        </is>
      </c>
      <c r="K4" s="3" t="inlineStr">
        <is>
          <t>월평균 전력량(kWh)</t>
        </is>
      </c>
      <c r="L4" s="3" t="inlineStr">
        <is>
          <t>월 전기비(원)</t>
        </is>
      </c>
      <c r="M4" s="3" t="inlineStr">
        <is>
          <t>배액률</t>
        </is>
      </c>
      <c r="N4" s="3" t="inlineStr">
        <is>
          <t>월 작물 순소비량(m³)</t>
        </is>
      </c>
      <c r="O4" s="3" t="inlineStr">
        <is>
          <t>월 배액량(m³)</t>
        </is>
      </c>
      <c r="P4" s="3" t="inlineStr">
        <is>
          <t>월 기타 용수량(m³)</t>
        </is>
      </c>
      <c r="Q4" s="3" t="inlineStr">
        <is>
          <t>월 총 용수량(m³)</t>
        </is>
      </c>
      <c r="R4" s="3" t="inlineStr">
        <is>
          <t>월 수도비(원)</t>
        </is>
      </c>
      <c r="S4" s="3" t="inlineStr">
        <is>
          <t>월 재료비(원)</t>
        </is>
      </c>
      <c r="T4" s="3" t="inlineStr">
        <is>
          <t>월 인건비(원)</t>
        </is>
      </c>
      <c r="U4" s="3" t="inlineStr">
        <is>
          <t>감가상각 등 기타비(원)</t>
        </is>
      </c>
      <c r="V4" s="3" t="inlineStr">
        <is>
          <t>월 운영비(원)</t>
        </is>
      </c>
      <c r="W4" s="3" t="inlineStr">
        <is>
          <t>월 영업이익(원)</t>
        </is>
      </c>
      <c r="X4" s="3" t="inlineStr">
        <is>
          <t>공간 대여자 배분율</t>
        </is>
      </c>
      <c r="Y4" s="3" t="inlineStr">
        <is>
          <t>공간 대여자 예상수익(원)</t>
        </is>
      </c>
      <c r="Z4" s="3" t="inlineStr">
        <is>
          <t>공실 월세 대비 차이(원)</t>
        </is>
      </c>
      <c r="AA4" s="3" t="inlineStr">
        <is>
          <t>사업장 영업이익(원)</t>
        </is>
      </c>
      <c r="AB4" s="3" t="inlineStr">
        <is>
          <t>추천 방식</t>
        </is>
      </c>
      <c r="AC4" s="3" t="inlineStr">
        <is>
          <t>계약 형태</t>
        </is>
      </c>
    </row>
    <row r="5">
      <c r="A5" s="4" t="inlineStr">
        <is>
          <t>S001-상추</t>
        </is>
      </c>
      <c r="B5" s="4" t="inlineStr">
        <is>
          <t>S001</t>
        </is>
      </c>
      <c r="C5" s="4" t="inlineStr">
        <is>
          <t>부산 금정구 농장</t>
        </is>
      </c>
      <c r="D5" s="4" t="inlineStr">
        <is>
          <t>상추</t>
        </is>
      </c>
      <c r="E5" s="5" t="n">
        <v>164</v>
      </c>
      <c r="F5" s="5" t="n">
        <v>393.6</v>
      </c>
      <c r="G5" s="6" t="n">
        <v>1200000</v>
      </c>
      <c r="H5" s="5" t="n">
        <v>1180.8</v>
      </c>
      <c r="I5" s="5" t="n">
        <v>1062.72</v>
      </c>
      <c r="J5" s="6" t="n">
        <v>8501760</v>
      </c>
      <c r="K5" s="6" t="n">
        <v>33032.11168104536</v>
      </c>
      <c r="L5" s="6" t="n">
        <v>5119977.31056203</v>
      </c>
      <c r="M5" s="7" t="n">
        <v>0.3</v>
      </c>
      <c r="N5" s="5" t="n">
        <v>38.3104</v>
      </c>
      <c r="O5" s="5" t="n">
        <v>16.41874285714286</v>
      </c>
      <c r="P5" s="5" t="n">
        <v>0.9976666666666668</v>
      </c>
      <c r="Q5" s="5" t="n">
        <v>55.72680952380953</v>
      </c>
      <c r="R5" s="6" t="n">
        <v>128171.6619047619</v>
      </c>
      <c r="S5" s="6" t="n">
        <v>3252000</v>
      </c>
      <c r="T5" s="6" t="n">
        <v>6092928</v>
      </c>
      <c r="U5" s="6" t="n">
        <v>100000</v>
      </c>
      <c r="V5" s="6" t="n">
        <v>14693076.97246679</v>
      </c>
      <c r="W5" s="6" t="n">
        <v>-6191316.972466791</v>
      </c>
      <c r="X5" s="7" t="n">
        <v>0.8</v>
      </c>
      <c r="Y5" s="6" t="n">
        <v>-4953053.577973433</v>
      </c>
      <c r="Z5" s="6" t="n">
        <v>-6153053.577973433</v>
      </c>
      <c r="AA5" s="6" t="n">
        <v>-1238263.394493358</v>
      </c>
      <c r="AB5" s="4" t="inlineStr">
        <is>
          <t>개인취미 대여 방식 추천</t>
        </is>
      </c>
      <c r="AC5" s="4" t="inlineStr">
        <is>
          <t>단기계약형</t>
        </is>
      </c>
    </row>
    <row r="6">
      <c r="A6" s="4" t="inlineStr">
        <is>
          <t>S001-딸기</t>
        </is>
      </c>
      <c r="B6" s="4" t="inlineStr">
        <is>
          <t>S001</t>
        </is>
      </c>
      <c r="C6" s="4" t="inlineStr">
        <is>
          <t>부산 금정구 농장</t>
        </is>
      </c>
      <c r="D6" s="4" t="inlineStr">
        <is>
          <t>딸기</t>
        </is>
      </c>
      <c r="E6" s="5" t="n">
        <v>164</v>
      </c>
      <c r="F6" s="5" t="n">
        <v>393.6</v>
      </c>
      <c r="G6" s="6" t="n">
        <v>1200000</v>
      </c>
      <c r="H6" s="5" t="n">
        <v>610.0799999999999</v>
      </c>
      <c r="I6" s="5" t="n">
        <v>549.072</v>
      </c>
      <c r="J6" s="6" t="n">
        <v>16472160</v>
      </c>
      <c r="K6" s="6" t="n">
        <v>23892.66972313001</v>
      </c>
      <c r="L6" s="6" t="n">
        <v>3703363.807085151</v>
      </c>
      <c r="M6" s="7" t="n">
        <v>0.3</v>
      </c>
      <c r="N6" s="5" t="n">
        <v>10.7748</v>
      </c>
      <c r="O6" s="5" t="n">
        <v>4.61777142857143</v>
      </c>
      <c r="P6" s="5" t="n">
        <v>0.9976666666666668</v>
      </c>
      <c r="Q6" s="5" t="n">
        <v>16.3902380952381</v>
      </c>
      <c r="R6" s="6" t="n">
        <v>37697.54761904763</v>
      </c>
      <c r="S6" s="6" t="n">
        <v>2514000</v>
      </c>
      <c r="T6" s="6" t="n">
        <v>3148012.8</v>
      </c>
      <c r="U6" s="6" t="n">
        <v>100000</v>
      </c>
      <c r="V6" s="6" t="n">
        <v>9503074.154704198</v>
      </c>
      <c r="W6" s="6" t="n">
        <v>6969085.845295802</v>
      </c>
      <c r="X6" s="7" t="n">
        <v>0.8</v>
      </c>
      <c r="Y6" s="6" t="n">
        <v>5575268.676236642</v>
      </c>
      <c r="Z6" s="6" t="n">
        <v>4375268.676236642</v>
      </c>
      <c r="AA6" s="6" t="n">
        <v>1393817.16905916</v>
      </c>
      <c r="AB6" s="4" t="inlineStr">
        <is>
          <t>도심형 대량생산 스마트팜 방식 추천</t>
        </is>
      </c>
      <c r="AC6" s="4" t="inlineStr">
        <is>
          <t>장기계약형</t>
        </is>
      </c>
    </row>
    <row r="7">
      <c r="A7" s="4" t="inlineStr">
        <is>
          <t>S001-바질</t>
        </is>
      </c>
      <c r="B7" s="4" t="inlineStr">
        <is>
          <t>S001</t>
        </is>
      </c>
      <c r="C7" s="4" t="inlineStr">
        <is>
          <t>부산 금정구 농장</t>
        </is>
      </c>
      <c r="D7" s="4" t="inlineStr">
        <is>
          <t>바질</t>
        </is>
      </c>
      <c r="E7" s="5" t="n">
        <v>164</v>
      </c>
      <c r="F7" s="5" t="n">
        <v>393.6</v>
      </c>
      <c r="G7" s="6" t="n">
        <v>1200000</v>
      </c>
      <c r="H7" s="5" t="n">
        <v>944.6400000000001</v>
      </c>
      <c r="I7" s="5" t="n">
        <v>850.1760000000002</v>
      </c>
      <c r="J7" s="6" t="n">
        <v>17003520</v>
      </c>
      <c r="K7" s="6" t="n">
        <v>25044.23236566627</v>
      </c>
      <c r="L7" s="6" t="n">
        <v>3881856.016678272</v>
      </c>
      <c r="M7" s="7" t="n">
        <v>0.3</v>
      </c>
      <c r="N7" s="5" t="n">
        <v>13.1692</v>
      </c>
      <c r="O7" s="5" t="n">
        <v>5.643942857142858</v>
      </c>
      <c r="P7" s="5" t="n">
        <v>0.9976666666666668</v>
      </c>
      <c r="Q7" s="5" t="n">
        <v>19.81080952380953</v>
      </c>
      <c r="R7" s="6" t="n">
        <v>45564.86190476191</v>
      </c>
      <c r="S7" s="6" t="n">
        <v>5023200</v>
      </c>
      <c r="T7" s="6" t="n">
        <v>4874342.4</v>
      </c>
      <c r="U7" s="6" t="n">
        <v>100000</v>
      </c>
      <c r="V7" s="6" t="n">
        <v>13924963.27858303</v>
      </c>
      <c r="W7" s="6" t="n">
        <v>3078556.721416969</v>
      </c>
      <c r="X7" s="7" t="n">
        <v>0.8</v>
      </c>
      <c r="Y7" s="6" t="n">
        <v>2462845.377133575</v>
      </c>
      <c r="Z7" s="6" t="n">
        <v>1262845.377133575</v>
      </c>
      <c r="AA7" s="6" t="n">
        <v>615711.3442833936</v>
      </c>
      <c r="AB7" s="4" t="inlineStr">
        <is>
          <t>도심형 대량생산 스마트팜 방식 추천</t>
        </is>
      </c>
      <c r="AC7" s="4" t="inlineStr">
        <is>
          <t>장기계약형</t>
        </is>
      </c>
    </row>
    <row r="8">
      <c r="A8" s="4" t="inlineStr">
        <is>
          <t>S002-상추</t>
        </is>
      </c>
      <c r="B8" s="4" t="inlineStr">
        <is>
          <t>S002</t>
        </is>
      </c>
      <c r="C8" s="4" t="inlineStr">
        <is>
          <t>부산 해운대 농장</t>
        </is>
      </c>
      <c r="D8" s="4" t="inlineStr">
        <is>
          <t>상추</t>
        </is>
      </c>
      <c r="E8" s="5" t="n">
        <v>66</v>
      </c>
      <c r="F8" s="5" t="n">
        <v>158.4</v>
      </c>
      <c r="G8" s="6" t="n">
        <v>800000</v>
      </c>
      <c r="H8" s="5" t="n">
        <v>475.2</v>
      </c>
      <c r="I8" s="5" t="n">
        <v>427.6800000000001</v>
      </c>
      <c r="J8" s="6" t="n">
        <v>3421440</v>
      </c>
      <c r="K8" s="6" t="n">
        <v>13299.2498568393</v>
      </c>
      <c r="L8" s="6" t="n">
        <v>2061383.727810092</v>
      </c>
      <c r="M8" s="7" t="n">
        <v>0.3</v>
      </c>
      <c r="N8" s="5" t="n">
        <v>15.4176</v>
      </c>
      <c r="O8" s="5" t="n">
        <v>6.60754285714286</v>
      </c>
      <c r="P8" s="5" t="n">
        <v>0.4015000000000001</v>
      </c>
      <c r="Q8" s="5" t="n">
        <v>22.42664285714286</v>
      </c>
      <c r="R8" s="6" t="n">
        <v>51581.27857142859</v>
      </c>
      <c r="S8" s="6" t="n">
        <v>1488000</v>
      </c>
      <c r="T8" s="6" t="n">
        <v>2452032</v>
      </c>
      <c r="U8" s="6" t="n">
        <v>100000</v>
      </c>
      <c r="V8" s="6" t="n">
        <v>6152997.006381521</v>
      </c>
      <c r="W8" s="6" t="n">
        <v>-2731557.006381521</v>
      </c>
      <c r="X8" s="7" t="n">
        <v>0.8</v>
      </c>
      <c r="Y8" s="6" t="n">
        <v>-2185245.605105217</v>
      </c>
      <c r="Z8" s="6" t="n">
        <v>-2985245.605105217</v>
      </c>
      <c r="AA8" s="6" t="n">
        <v>-546311.4012763039</v>
      </c>
      <c r="AB8" s="4" t="inlineStr">
        <is>
          <t>개인취미 대여 방식 추천</t>
        </is>
      </c>
      <c r="AC8" s="4" t="inlineStr">
        <is>
          <t>단기계약형</t>
        </is>
      </c>
    </row>
    <row r="9">
      <c r="A9" s="4" t="inlineStr">
        <is>
          <t>S002-딸기</t>
        </is>
      </c>
      <c r="B9" s="4" t="inlineStr">
        <is>
          <t>S002</t>
        </is>
      </c>
      <c r="C9" s="4" t="inlineStr">
        <is>
          <t>부산 해운대 농장</t>
        </is>
      </c>
      <c r="D9" s="4" t="inlineStr">
        <is>
          <t>딸기</t>
        </is>
      </c>
      <c r="E9" s="5" t="n">
        <v>66</v>
      </c>
      <c r="F9" s="5" t="n">
        <v>158.4</v>
      </c>
      <c r="G9" s="6" t="n">
        <v>800000</v>
      </c>
      <c r="H9" s="5" t="n">
        <v>245.52</v>
      </c>
      <c r="I9" s="5" t="n">
        <v>220.968</v>
      </c>
      <c r="J9" s="6" t="n">
        <v>6629040.000000001</v>
      </c>
      <c r="K9" s="6" t="n">
        <v>9619.666647268185</v>
      </c>
      <c r="L9" s="6" t="n">
        <v>1491048.330326569</v>
      </c>
      <c r="M9" s="7" t="n">
        <v>0.3</v>
      </c>
      <c r="N9" s="5" t="n">
        <v>4.3362</v>
      </c>
      <c r="O9" s="5" t="n">
        <v>1.858371428571429</v>
      </c>
      <c r="P9" s="5" t="n">
        <v>0.4015000000000001</v>
      </c>
      <c r="Q9" s="5" t="n">
        <v>6.596071428571428</v>
      </c>
      <c r="R9" s="6" t="n">
        <v>15170.96428571428</v>
      </c>
      <c r="S9" s="6" t="n">
        <v>1191000</v>
      </c>
      <c r="T9" s="6" t="n">
        <v>1266883.2</v>
      </c>
      <c r="U9" s="6" t="n">
        <v>100000</v>
      </c>
      <c r="V9" s="6" t="n">
        <v>4064102.494612283</v>
      </c>
      <c r="W9" s="6" t="n">
        <v>2564937.505387718</v>
      </c>
      <c r="X9" s="7" t="n">
        <v>0.8</v>
      </c>
      <c r="Y9" s="6" t="n">
        <v>2051950.004310174</v>
      </c>
      <c r="Z9" s="6" t="n">
        <v>1251950.004310174</v>
      </c>
      <c r="AA9" s="6" t="n">
        <v>512987.5010775435</v>
      </c>
      <c r="AB9" s="4" t="inlineStr">
        <is>
          <t>도심형 대량생산 스마트팜 방식 추천</t>
        </is>
      </c>
      <c r="AC9" s="4" t="inlineStr">
        <is>
          <t>장기계약형</t>
        </is>
      </c>
    </row>
    <row r="10">
      <c r="A10" s="4" t="inlineStr">
        <is>
          <t>S002-바질</t>
        </is>
      </c>
      <c r="B10" s="4" t="inlineStr">
        <is>
          <t>S002</t>
        </is>
      </c>
      <c r="C10" s="4" t="inlineStr">
        <is>
          <t>부산 해운대 농장</t>
        </is>
      </c>
      <c r="D10" s="4" t="inlineStr">
        <is>
          <t>바질</t>
        </is>
      </c>
      <c r="E10" s="5" t="n">
        <v>66</v>
      </c>
      <c r="F10" s="5" t="n">
        <v>158.4</v>
      </c>
      <c r="G10" s="6" t="n">
        <v>800000</v>
      </c>
      <c r="H10" s="5" t="n">
        <v>380.1600000000001</v>
      </c>
      <c r="I10" s="5" t="n">
        <v>342.1440000000001</v>
      </c>
      <c r="J10" s="6" t="n">
        <v>6842880.000000001</v>
      </c>
      <c r="K10" s="6" t="n">
        <v>10082.76516295819</v>
      </c>
      <c r="L10" s="6" t="n">
        <v>1562828.600258519</v>
      </c>
      <c r="M10" s="7" t="n">
        <v>0.3</v>
      </c>
      <c r="N10" s="5" t="n">
        <v>5.2998</v>
      </c>
      <c r="O10" s="5" t="n">
        <v>2.271342857142858</v>
      </c>
      <c r="P10" s="5" t="n">
        <v>0.4015000000000001</v>
      </c>
      <c r="Q10" s="5" t="n">
        <v>7.972642857142858</v>
      </c>
      <c r="R10" s="6" t="n">
        <v>18337.07857142857</v>
      </c>
      <c r="S10" s="6" t="n">
        <v>2200800</v>
      </c>
      <c r="T10" s="6" t="n">
        <v>1961625.6</v>
      </c>
      <c r="U10" s="6" t="n">
        <v>100000</v>
      </c>
      <c r="V10" s="6" t="n">
        <v>5843591.278829948</v>
      </c>
      <c r="W10" s="6" t="n">
        <v>999288.7211700529</v>
      </c>
      <c r="X10" s="7" t="n">
        <v>0.8</v>
      </c>
      <c r="Y10" s="6" t="n">
        <v>799430.9769360423</v>
      </c>
      <c r="Z10" s="6" t="n">
        <v>-569.0230639576912</v>
      </c>
      <c r="AA10" s="6" t="n">
        <v>199857.7442340106</v>
      </c>
      <c r="AB10" s="4" t="inlineStr">
        <is>
          <t>개인취미 대여 방식 추천</t>
        </is>
      </c>
      <c r="AC10" s="4" t="inlineStr">
        <is>
          <t>단기계약형</t>
        </is>
      </c>
    </row>
    <row r="11">
      <c r="A11" s="4" t="inlineStr">
        <is>
          <t>S003-상추</t>
        </is>
      </c>
      <c r="B11" s="4" t="inlineStr">
        <is>
          <t>S003</t>
        </is>
      </c>
      <c r="C11" s="4" t="inlineStr">
        <is>
          <t>부산 사하구 농장</t>
        </is>
      </c>
      <c r="D11" s="4" t="inlineStr">
        <is>
          <t>상추</t>
        </is>
      </c>
      <c r="E11" s="5" t="n">
        <v>324</v>
      </c>
      <c r="F11" s="5" t="n">
        <v>1134</v>
      </c>
      <c r="G11" s="6" t="n">
        <v>3500000</v>
      </c>
      <c r="H11" s="5" t="n">
        <v>3402</v>
      </c>
      <c r="I11" s="5" t="n">
        <v>3061.8</v>
      </c>
      <c r="J11" s="6" t="n">
        <v>24494400</v>
      </c>
      <c r="K11" s="6" t="n">
        <v>95183.49944819551</v>
      </c>
      <c r="L11" s="6" t="n">
        <v>14753442.4144703</v>
      </c>
      <c r="M11" s="7" t="n">
        <v>0.3</v>
      </c>
      <c r="N11" s="5" t="n">
        <v>110.376</v>
      </c>
      <c r="O11" s="5" t="n">
        <v>47.30400000000002</v>
      </c>
      <c r="P11" s="5" t="n">
        <v>1.971</v>
      </c>
      <c r="Q11" s="5" t="n">
        <v>159.651</v>
      </c>
      <c r="R11" s="6" t="n">
        <v>367197.3000000001</v>
      </c>
      <c r="S11" s="6" t="n">
        <v>8805000</v>
      </c>
      <c r="T11" s="6" t="n">
        <v>17554320</v>
      </c>
      <c r="U11" s="6" t="n">
        <v>100000</v>
      </c>
      <c r="V11" s="6" t="n">
        <v>41579959.7144703</v>
      </c>
      <c r="W11" s="6" t="n">
        <v>-17085559.7144703</v>
      </c>
      <c r="X11" s="7" t="n">
        <v>0.8</v>
      </c>
      <c r="Y11" s="6" t="n">
        <v>-13668447.77157624</v>
      </c>
      <c r="Z11" s="6" t="n">
        <v>-17168447.77157624</v>
      </c>
      <c r="AA11" s="6" t="n">
        <v>-3417111.94289406</v>
      </c>
      <c r="AB11" s="4" t="inlineStr">
        <is>
          <t>개인취미 대여 방식 추천</t>
        </is>
      </c>
      <c r="AC11" s="4" t="inlineStr">
        <is>
          <t>단기계약형</t>
        </is>
      </c>
    </row>
    <row r="12">
      <c r="A12" s="4" t="inlineStr">
        <is>
          <t>S003-딸기</t>
        </is>
      </c>
      <c r="B12" s="4" t="inlineStr">
        <is>
          <t>S003</t>
        </is>
      </c>
      <c r="C12" s="4" t="inlineStr">
        <is>
          <t>부산 사하구 농장</t>
        </is>
      </c>
      <c r="D12" s="4" t="inlineStr">
        <is>
          <t>딸기</t>
        </is>
      </c>
      <c r="E12" s="5" t="n">
        <v>324</v>
      </c>
      <c r="F12" s="5" t="n">
        <v>1134</v>
      </c>
      <c r="G12" s="6" t="n">
        <v>3500000</v>
      </c>
      <c r="H12" s="5" t="n">
        <v>1757.7</v>
      </c>
      <c r="I12" s="5" t="n">
        <v>1581.93</v>
      </c>
      <c r="J12" s="6" t="n">
        <v>47457900</v>
      </c>
      <c r="K12" s="6" t="n">
        <v>68862.84012814773</v>
      </c>
      <c r="L12" s="6" t="n">
        <v>10673740.2198629</v>
      </c>
      <c r="M12" s="7" t="n">
        <v>0.3</v>
      </c>
      <c r="N12" s="5" t="n">
        <v>31.04325</v>
      </c>
      <c r="O12" s="5" t="n">
        <v>13.30425</v>
      </c>
      <c r="P12" s="5" t="n">
        <v>1.971</v>
      </c>
      <c r="Q12" s="5" t="n">
        <v>46.31850000000001</v>
      </c>
      <c r="R12" s="6" t="n">
        <v>106532.55</v>
      </c>
      <c r="S12" s="6" t="n">
        <v>6678750</v>
      </c>
      <c r="T12" s="6" t="n">
        <v>9069732</v>
      </c>
      <c r="U12" s="6" t="n">
        <v>100000</v>
      </c>
      <c r="V12" s="6" t="n">
        <v>26628754.7698629</v>
      </c>
      <c r="W12" s="6" t="n">
        <v>20829145.2301371</v>
      </c>
      <c r="X12" s="7" t="n">
        <v>0.8</v>
      </c>
      <c r="Y12" s="6" t="n">
        <v>16663316.18410968</v>
      </c>
      <c r="Z12" s="6" t="n">
        <v>13163316.18410968</v>
      </c>
      <c r="AA12" s="6" t="n">
        <v>4165829.04602742</v>
      </c>
      <c r="AB12" s="4" t="inlineStr">
        <is>
          <t>도심형 대량생산 스마트팜 방식 추천</t>
        </is>
      </c>
      <c r="AC12" s="4" t="inlineStr">
        <is>
          <t>장기계약형</t>
        </is>
      </c>
    </row>
    <row r="13">
      <c r="A13" s="4" t="inlineStr">
        <is>
          <t>S003-바질</t>
        </is>
      </c>
      <c r="B13" s="4" t="inlineStr">
        <is>
          <t>S003</t>
        </is>
      </c>
      <c r="C13" s="4" t="inlineStr">
        <is>
          <t>부산 사하구 농장</t>
        </is>
      </c>
      <c r="D13" s="4" t="inlineStr">
        <is>
          <t>바질</t>
        </is>
      </c>
      <c r="E13" s="5" t="n">
        <v>324</v>
      </c>
      <c r="F13" s="5" t="n">
        <v>1134</v>
      </c>
      <c r="G13" s="6" t="n">
        <v>3500000</v>
      </c>
      <c r="H13" s="5" t="n">
        <v>2721.6</v>
      </c>
      <c r="I13" s="5" t="n">
        <v>2449.440000000001</v>
      </c>
      <c r="J13" s="6" t="n">
        <v>48988800.00000001</v>
      </c>
      <c r="K13" s="6" t="n">
        <v>72222.75241966658</v>
      </c>
      <c r="L13" s="6" t="n">
        <v>11194526.62504832</v>
      </c>
      <c r="M13" s="7" t="n">
        <v>0.3</v>
      </c>
      <c r="N13" s="5" t="n">
        <v>37.94175000000001</v>
      </c>
      <c r="O13" s="5" t="n">
        <v>16.26075000000001</v>
      </c>
      <c r="P13" s="5" t="n">
        <v>1.971</v>
      </c>
      <c r="Q13" s="5" t="n">
        <v>56.17350000000001</v>
      </c>
      <c r="R13" s="6" t="n">
        <v>129199.05</v>
      </c>
      <c r="S13" s="6" t="n">
        <v>13908000</v>
      </c>
      <c r="T13" s="6" t="n">
        <v>14043456</v>
      </c>
      <c r="U13" s="6" t="n">
        <v>100000</v>
      </c>
      <c r="V13" s="6" t="n">
        <v>39375181.67504832</v>
      </c>
      <c r="W13" s="6" t="n">
        <v>9613618.324951686</v>
      </c>
      <c r="X13" s="7" t="n">
        <v>0.8</v>
      </c>
      <c r="Y13" s="6" t="n">
        <v>7690894.659961349</v>
      </c>
      <c r="Z13" s="6" t="n">
        <v>4190894.659961349</v>
      </c>
      <c r="AA13" s="6" t="n">
        <v>1922723.664990337</v>
      </c>
      <c r="AB13" s="4" t="inlineStr">
        <is>
          <t>도심형 대량생산 스마트팜 방식 추천</t>
        </is>
      </c>
      <c r="AC13" s="4" t="inlineStr">
        <is>
          <t>장기계약형</t>
        </is>
      </c>
    </row>
  </sheetData>
  <autoFilter ref="A4:AC13"/>
  <mergeCells count="1">
    <mergeCell ref="A1:AC1"/>
  </mergeCells>
  <conditionalFormatting sqref="W5:W13">
    <cfRule type="cellIs" priority="1" operator="lessThan" dxfId="0">
      <formula>0</formula>
    </cfRule>
  </conditionalFormatting>
  <conditionalFormatting sqref="Y5:Y13">
    <cfRule type="cellIs" priority="2" operator="lessThan" dxfId="0">
      <formula>0</formula>
    </cfRule>
  </conditionalFormatting>
  <conditionalFormatting sqref="Z5:Z13">
    <cfRule type="cellIs" priority="3" operator="lessThan" dxfId="0">
      <formula>0</formula>
    </cfRule>
  </conditionalFormatting>
  <conditionalFormatting sqref="AA5:AA13">
    <cfRule type="cellIs" priority="4" operator="lessThan" dxfId="0">
      <formula>0</formula>
    </cfRule>
  </conditionalFormatting>
  <conditionalFormatting sqref="AC5:AC13">
    <cfRule type="expression" priority="5" dxfId="1">
      <formula>$AC5="장기계약형"</formula>
    </cfRule>
    <cfRule type="expression" priority="6" dxfId="2">
      <formula>$AC5="단기계약형"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26" customWidth="1" min="5" max="5"/>
    <col width="21" customWidth="1" min="6" max="6"/>
    <col width="10" customWidth="1" min="7" max="7"/>
  </cols>
  <sheetData>
    <row r="1" ht="34" customHeight="1">
      <c r="A1" s="1" t="inlineStr">
        <is>
          <t>계산 블록 1~10 상세 결과</t>
        </is>
      </c>
    </row>
    <row r="2"/>
    <row r="3" ht="34" customHeight="1">
      <c r="A3" s="3" t="inlineStr">
        <is>
          <t>시나리오ID</t>
        </is>
      </c>
      <c r="B3" s="3" t="inlineStr">
        <is>
          <t>사업장</t>
        </is>
      </c>
      <c r="C3" s="3" t="inlineStr">
        <is>
          <t>작물</t>
        </is>
      </c>
      <c r="D3" s="3" t="inlineStr">
        <is>
          <t>계산 블록</t>
        </is>
      </c>
      <c r="E3" s="3" t="inlineStr">
        <is>
          <t>항목</t>
        </is>
      </c>
      <c r="F3" s="3" t="inlineStr">
        <is>
          <t>값</t>
        </is>
      </c>
      <c r="G3" s="3" t="inlineStr">
        <is>
          <t>단위</t>
        </is>
      </c>
    </row>
    <row r="4">
      <c r="A4" t="inlineStr">
        <is>
          <t>S001-상추</t>
        </is>
      </c>
      <c r="B4" t="inlineStr">
        <is>
          <t>부산 금정구 농장</t>
        </is>
      </c>
      <c r="C4" t="inlineStr">
        <is>
          <t>상추</t>
        </is>
      </c>
      <c r="D4" t="inlineStr">
        <is>
          <t>1. 공간</t>
        </is>
      </c>
      <c r="E4" t="inlineStr">
        <is>
          <t>공실 전체면적</t>
        </is>
      </c>
      <c r="F4" s="8" t="n">
        <v>164</v>
      </c>
      <c r="G4" t="inlineStr">
        <is>
          <t>m²</t>
        </is>
      </c>
    </row>
    <row r="5">
      <c r="A5" t="inlineStr">
        <is>
          <t>S001-상추</t>
        </is>
      </c>
      <c r="B5" t="inlineStr">
        <is>
          <t>부산 금정구 농장</t>
        </is>
      </c>
      <c r="C5" t="inlineStr">
        <is>
          <t>상추</t>
        </is>
      </c>
      <c r="D5" t="inlineStr">
        <is>
          <t>1. 공간</t>
        </is>
      </c>
      <c r="E5" t="inlineStr">
        <is>
          <t>사용가능 바닥면적</t>
        </is>
      </c>
      <c r="F5" s="8" t="n">
        <v>98.39999999999999</v>
      </c>
      <c r="G5" t="inlineStr">
        <is>
          <t>m²</t>
        </is>
      </c>
    </row>
    <row r="6">
      <c r="A6" t="inlineStr">
        <is>
          <t>S001-상추</t>
        </is>
      </c>
      <c r="B6" t="inlineStr">
        <is>
          <t>부산 금정구 농장</t>
        </is>
      </c>
      <c r="C6" t="inlineStr">
        <is>
          <t>상추</t>
        </is>
      </c>
      <c r="D6" t="inlineStr">
        <is>
          <t>1. 공간</t>
        </is>
      </c>
      <c r="E6" t="inlineStr">
        <is>
          <t>재배면적</t>
        </is>
      </c>
      <c r="F6" s="8" t="n">
        <v>393.6</v>
      </c>
      <c r="G6" t="inlineStr">
        <is>
          <t>m²</t>
        </is>
      </c>
    </row>
    <row r="7">
      <c r="A7" t="inlineStr">
        <is>
          <t>S001-상추</t>
        </is>
      </c>
      <c r="B7" t="inlineStr">
        <is>
          <t>부산 금정구 농장</t>
        </is>
      </c>
      <c r="C7" t="inlineStr">
        <is>
          <t>상추</t>
        </is>
      </c>
      <c r="D7" t="inlineStr">
        <is>
          <t>1. 공간</t>
        </is>
      </c>
      <c r="E7" t="inlineStr">
        <is>
          <t>공간 체적</t>
        </is>
      </c>
      <c r="F7" s="8" t="n">
        <v>410</v>
      </c>
      <c r="G7" t="inlineStr">
        <is>
          <t>m³</t>
        </is>
      </c>
    </row>
    <row r="8">
      <c r="A8" t="inlineStr">
        <is>
          <t>S001-상추</t>
        </is>
      </c>
      <c r="B8" t="inlineStr">
        <is>
          <t>부산 금정구 농장</t>
        </is>
      </c>
      <c r="C8" t="inlineStr">
        <is>
          <t>상추</t>
        </is>
      </c>
      <c r="D8" t="inlineStr">
        <is>
          <t>2. 생산</t>
        </is>
      </c>
      <c r="E8" t="inlineStr">
        <is>
          <t>월 총생산량</t>
        </is>
      </c>
      <c r="F8" s="8" t="n">
        <v>1180.8</v>
      </c>
      <c r="G8" t="inlineStr">
        <is>
          <t>kg</t>
        </is>
      </c>
    </row>
    <row r="9">
      <c r="A9" t="inlineStr">
        <is>
          <t>S001-상추</t>
        </is>
      </c>
      <c r="B9" t="inlineStr">
        <is>
          <t>부산 금정구 농장</t>
        </is>
      </c>
      <c r="C9" t="inlineStr">
        <is>
          <t>상추</t>
        </is>
      </c>
      <c r="D9" t="inlineStr">
        <is>
          <t>2. 생산</t>
        </is>
      </c>
      <c r="E9" t="inlineStr">
        <is>
          <t>월 판매량</t>
        </is>
      </c>
      <c r="F9" s="8" t="n">
        <v>1062.72</v>
      </c>
      <c r="G9" t="inlineStr">
        <is>
          <t>kg</t>
        </is>
      </c>
    </row>
    <row r="10">
      <c r="A10" t="inlineStr">
        <is>
          <t>S001-상추</t>
        </is>
      </c>
      <c r="B10" t="inlineStr">
        <is>
          <t>부산 금정구 농장</t>
        </is>
      </c>
      <c r="C10" t="inlineStr">
        <is>
          <t>상추</t>
        </is>
      </c>
      <c r="D10" t="inlineStr">
        <is>
          <t>3. 매출</t>
        </is>
      </c>
      <c r="E10" t="inlineStr">
        <is>
          <t>판매가격</t>
        </is>
      </c>
      <c r="F10" s="9" t="n">
        <v>8000</v>
      </c>
      <c r="G10" t="inlineStr">
        <is>
          <t>원/kg</t>
        </is>
      </c>
    </row>
    <row r="11">
      <c r="A11" t="inlineStr">
        <is>
          <t>S001-상추</t>
        </is>
      </c>
      <c r="B11" t="inlineStr">
        <is>
          <t>부산 금정구 농장</t>
        </is>
      </c>
      <c r="C11" t="inlineStr">
        <is>
          <t>상추</t>
        </is>
      </c>
      <c r="D11" t="inlineStr">
        <is>
          <t>3. 매출</t>
        </is>
      </c>
      <c r="E11" t="inlineStr">
        <is>
          <t>월 매출</t>
        </is>
      </c>
      <c r="F11" s="9" t="n">
        <v>8501760</v>
      </c>
      <c r="G11" t="inlineStr">
        <is>
          <t>원</t>
        </is>
      </c>
    </row>
    <row r="12">
      <c r="A12" t="inlineStr">
        <is>
          <t>S001-상추</t>
        </is>
      </c>
      <c r="B12" t="inlineStr">
        <is>
          <t>부산 금정구 농장</t>
        </is>
      </c>
      <c r="C12" t="inlineStr">
        <is>
          <t>상추</t>
        </is>
      </c>
      <c r="D12" t="inlineStr">
        <is>
          <t>4. 조명·냉난방</t>
        </is>
      </c>
      <c r="E12" t="inlineStr">
        <is>
          <t>필요 조명전력</t>
        </is>
      </c>
      <c r="F12" s="8" t="n">
        <v>28114.28571428572</v>
      </c>
      <c r="G12" t="inlineStr">
        <is>
          <t>W</t>
        </is>
      </c>
    </row>
    <row r="13">
      <c r="A13" t="inlineStr">
        <is>
          <t>S001-상추</t>
        </is>
      </c>
      <c r="B13" t="inlineStr">
        <is>
          <t>부산 금정구 농장</t>
        </is>
      </c>
      <c r="C13" t="inlineStr">
        <is>
          <t>상추</t>
        </is>
      </c>
      <c r="D13" t="inlineStr">
        <is>
          <t>4. 조명·냉난방</t>
        </is>
      </c>
      <c r="E13" t="inlineStr">
        <is>
          <t>월 조명전력량</t>
        </is>
      </c>
      <c r="F13" s="8" t="n">
        <v>12827.14285714286</v>
      </c>
      <c r="G13" t="inlineStr">
        <is>
          <t>kWh</t>
        </is>
      </c>
    </row>
    <row r="14">
      <c r="A14" t="inlineStr">
        <is>
          <t>S001-상추</t>
        </is>
      </c>
      <c r="B14" t="inlineStr">
        <is>
          <t>부산 금정구 농장</t>
        </is>
      </c>
      <c r="C14" t="inlineStr">
        <is>
          <t>상추</t>
        </is>
      </c>
      <c r="D14" t="inlineStr">
        <is>
          <t>5. 습도</t>
        </is>
      </c>
      <c r="E14" t="inlineStr">
        <is>
          <t>월 증발산량</t>
        </is>
      </c>
      <c r="F14" s="8" t="n">
        <v>38310.4</v>
      </c>
      <c r="G14" t="inlineStr">
        <is>
          <t>kg</t>
        </is>
      </c>
    </row>
    <row r="15">
      <c r="A15" t="inlineStr">
        <is>
          <t>S001-상추</t>
        </is>
      </c>
      <c r="B15" t="inlineStr">
        <is>
          <t>부산 금정구 농장</t>
        </is>
      </c>
      <c r="C15" t="inlineStr">
        <is>
          <t>상추</t>
        </is>
      </c>
      <c r="D15" t="inlineStr">
        <is>
          <t>6. 전기비</t>
        </is>
      </c>
      <c r="E15" t="inlineStr">
        <is>
          <t>월평균 총 전력량</t>
        </is>
      </c>
      <c r="F15" s="8" t="n">
        <v>33032.11168104536</v>
      </c>
      <c r="G15" t="inlineStr">
        <is>
          <t>kWh</t>
        </is>
      </c>
    </row>
    <row r="16">
      <c r="A16" t="inlineStr">
        <is>
          <t>S001-상추</t>
        </is>
      </c>
      <c r="B16" t="inlineStr">
        <is>
          <t>부산 금정구 농장</t>
        </is>
      </c>
      <c r="C16" t="inlineStr">
        <is>
          <t>상추</t>
        </is>
      </c>
      <c r="D16" t="inlineStr">
        <is>
          <t>6. 전기비</t>
        </is>
      </c>
      <c r="E16" t="inlineStr">
        <is>
          <t>월 전기비</t>
        </is>
      </c>
      <c r="F16" s="9" t="n">
        <v>5119977.31056203</v>
      </c>
      <c r="G16" t="inlineStr">
        <is>
          <t>원</t>
        </is>
      </c>
    </row>
    <row r="17">
      <c r="A17" t="inlineStr">
        <is>
          <t>S001-상추</t>
        </is>
      </c>
      <c r="B17" t="inlineStr">
        <is>
          <t>부산 금정구 농장</t>
        </is>
      </c>
      <c r="C17" t="inlineStr">
        <is>
          <t>상추</t>
        </is>
      </c>
      <c r="D17" t="inlineStr">
        <is>
          <t>7. 수도비</t>
        </is>
      </c>
      <c r="E17" t="inlineStr">
        <is>
          <t>배액률</t>
        </is>
      </c>
      <c r="F17" s="10" t="n">
        <v>0.3</v>
      </c>
      <c r="G17" t="inlineStr">
        <is>
          <t>%</t>
        </is>
      </c>
    </row>
    <row r="18">
      <c r="A18" t="inlineStr">
        <is>
          <t>S001-상추</t>
        </is>
      </c>
      <c r="B18" t="inlineStr">
        <is>
          <t>부산 금정구 농장</t>
        </is>
      </c>
      <c r="C18" t="inlineStr">
        <is>
          <t>상추</t>
        </is>
      </c>
      <c r="D18" t="inlineStr">
        <is>
          <t>7. 수도비</t>
        </is>
      </c>
      <c r="E18" t="inlineStr">
        <is>
          <t>월 작물 순소비량</t>
        </is>
      </c>
      <c r="F18" s="8" t="n">
        <v>38.3104</v>
      </c>
      <c r="G18" t="inlineStr">
        <is>
          <t>m³</t>
        </is>
      </c>
    </row>
    <row r="19">
      <c r="A19" t="inlineStr">
        <is>
          <t>S001-상추</t>
        </is>
      </c>
      <c r="B19" t="inlineStr">
        <is>
          <t>부산 금정구 농장</t>
        </is>
      </c>
      <c r="C19" t="inlineStr">
        <is>
          <t>상추</t>
        </is>
      </c>
      <c r="D19" t="inlineStr">
        <is>
          <t>7. 수도비</t>
        </is>
      </c>
      <c r="E19" t="inlineStr">
        <is>
          <t>월 배액량</t>
        </is>
      </c>
      <c r="F19" s="8" t="n">
        <v>16.41874285714286</v>
      </c>
      <c r="G19" t="inlineStr">
        <is>
          <t>m³</t>
        </is>
      </c>
    </row>
    <row r="20">
      <c r="A20" t="inlineStr">
        <is>
          <t>S001-상추</t>
        </is>
      </c>
      <c r="B20" t="inlineStr">
        <is>
          <t>부산 금정구 농장</t>
        </is>
      </c>
      <c r="C20" t="inlineStr">
        <is>
          <t>상추</t>
        </is>
      </c>
      <c r="D20" t="inlineStr">
        <is>
          <t>7. 수도비</t>
        </is>
      </c>
      <c r="E20" t="inlineStr">
        <is>
          <t>월 작물 관수량</t>
        </is>
      </c>
      <c r="F20" s="8" t="n">
        <v>54.72914285714286</v>
      </c>
      <c r="G20" t="inlineStr">
        <is>
          <t>m³</t>
        </is>
      </c>
    </row>
    <row r="21">
      <c r="A21" t="inlineStr">
        <is>
          <t>S001-상추</t>
        </is>
      </c>
      <c r="B21" t="inlineStr">
        <is>
          <t>부산 금정구 농장</t>
        </is>
      </c>
      <c r="C21" t="inlineStr">
        <is>
          <t>상추</t>
        </is>
      </c>
      <c r="D21" t="inlineStr">
        <is>
          <t>7. 수도비</t>
        </is>
      </c>
      <c r="E21" t="inlineStr">
        <is>
          <t>월 기타 용수량</t>
        </is>
      </c>
      <c r="F21" s="8" t="n">
        <v>0.9976666666666668</v>
      </c>
      <c r="G21" t="inlineStr">
        <is>
          <t>m³</t>
        </is>
      </c>
    </row>
    <row r="22">
      <c r="A22" t="inlineStr">
        <is>
          <t>S001-상추</t>
        </is>
      </c>
      <c r="B22" t="inlineStr">
        <is>
          <t>부산 금정구 농장</t>
        </is>
      </c>
      <c r="C22" t="inlineStr">
        <is>
          <t>상추</t>
        </is>
      </c>
      <c r="D22" t="inlineStr">
        <is>
          <t>7. 수도비</t>
        </is>
      </c>
      <c r="E22" t="inlineStr">
        <is>
          <t>월 총 용수량</t>
        </is>
      </c>
      <c r="F22" s="8" t="n">
        <v>55.72680952380953</v>
      </c>
      <c r="G22" t="inlineStr">
        <is>
          <t>m³</t>
        </is>
      </c>
    </row>
    <row r="23">
      <c r="A23" t="inlineStr">
        <is>
          <t>S001-상추</t>
        </is>
      </c>
      <c r="B23" t="inlineStr">
        <is>
          <t>부산 금정구 농장</t>
        </is>
      </c>
      <c r="C23" t="inlineStr">
        <is>
          <t>상추</t>
        </is>
      </c>
      <c r="D23" t="inlineStr">
        <is>
          <t>7. 수도비</t>
        </is>
      </c>
      <c r="E23" t="inlineStr">
        <is>
          <t>월 수도비</t>
        </is>
      </c>
      <c r="F23" s="9" t="n">
        <v>128171.6619047619</v>
      </c>
      <c r="G23" t="inlineStr">
        <is>
          <t>원</t>
        </is>
      </c>
    </row>
    <row r="24">
      <c r="A24" t="inlineStr">
        <is>
          <t>S001-상추</t>
        </is>
      </c>
      <c r="B24" t="inlineStr">
        <is>
          <t>부산 금정구 농장</t>
        </is>
      </c>
      <c r="C24" t="inlineStr">
        <is>
          <t>상추</t>
        </is>
      </c>
      <c r="D24" t="inlineStr">
        <is>
          <t>8. 재료비</t>
        </is>
      </c>
      <c r="E24" t="inlineStr">
        <is>
          <t>월 모종비</t>
        </is>
      </c>
      <c r="F24" s="9" t="n">
        <v>2952000</v>
      </c>
      <c r="G24" t="inlineStr">
        <is>
          <t>원</t>
        </is>
      </c>
    </row>
    <row r="25">
      <c r="A25" t="inlineStr">
        <is>
          <t>S001-상추</t>
        </is>
      </c>
      <c r="B25" t="inlineStr">
        <is>
          <t>부산 금정구 농장</t>
        </is>
      </c>
      <c r="C25" t="inlineStr">
        <is>
          <t>상추</t>
        </is>
      </c>
      <c r="D25" t="inlineStr">
        <is>
          <t>8. 재료비</t>
        </is>
      </c>
      <c r="E25" t="inlineStr">
        <is>
          <t>월 기타 재료비</t>
        </is>
      </c>
      <c r="F25" s="9" t="n">
        <v>300000</v>
      </c>
      <c r="G25" t="inlineStr">
        <is>
          <t>원</t>
        </is>
      </c>
    </row>
    <row r="26">
      <c r="A26" t="inlineStr">
        <is>
          <t>S001-상추</t>
        </is>
      </c>
      <c r="B26" t="inlineStr">
        <is>
          <t>부산 금정구 농장</t>
        </is>
      </c>
      <c r="C26" t="inlineStr">
        <is>
          <t>상추</t>
        </is>
      </c>
      <c r="D26" t="inlineStr">
        <is>
          <t>8. 재료비</t>
        </is>
      </c>
      <c r="E26" t="inlineStr">
        <is>
          <t>월 재료비</t>
        </is>
      </c>
      <c r="F26" s="9" t="n">
        <v>3252000</v>
      </c>
      <c r="G26" t="inlineStr">
        <is>
          <t>원</t>
        </is>
      </c>
    </row>
    <row r="27">
      <c r="A27" t="inlineStr">
        <is>
          <t>S001-상추</t>
        </is>
      </c>
      <c r="B27" t="inlineStr">
        <is>
          <t>부산 금정구 농장</t>
        </is>
      </c>
      <c r="C27" t="inlineStr">
        <is>
          <t>상추</t>
        </is>
      </c>
      <c r="D27" t="inlineStr">
        <is>
          <t>9. 인건비</t>
        </is>
      </c>
      <c r="E27" t="inlineStr">
        <is>
          <t>월 노동시간</t>
        </is>
      </c>
      <c r="F27" s="8" t="n">
        <v>590.4</v>
      </c>
      <c r="G27" t="inlineStr">
        <is>
          <t>시간</t>
        </is>
      </c>
    </row>
    <row r="28">
      <c r="A28" t="inlineStr">
        <is>
          <t>S001-상추</t>
        </is>
      </c>
      <c r="B28" t="inlineStr">
        <is>
          <t>부산 금정구 농장</t>
        </is>
      </c>
      <c r="C28" t="inlineStr">
        <is>
          <t>상추</t>
        </is>
      </c>
      <c r="D28" t="inlineStr">
        <is>
          <t>9. 인건비</t>
        </is>
      </c>
      <c r="E28" t="inlineStr">
        <is>
          <t>월 인건비</t>
        </is>
      </c>
      <c r="F28" s="9" t="n">
        <v>6092928</v>
      </c>
      <c r="G28" t="inlineStr">
        <is>
          <t>원</t>
        </is>
      </c>
    </row>
    <row r="29">
      <c r="A29" t="inlineStr">
        <is>
          <t>S001-상추</t>
        </is>
      </c>
      <c r="B29" t="inlineStr">
        <is>
          <t>부산 금정구 농장</t>
        </is>
      </c>
      <c r="C29" t="inlineStr">
        <is>
          <t>상추</t>
        </is>
      </c>
      <c r="D29" t="inlineStr">
        <is>
          <t>10. 수익</t>
        </is>
      </c>
      <c r="E29" t="inlineStr">
        <is>
          <t>월 운영비</t>
        </is>
      </c>
      <c r="F29" s="9" t="n">
        <v>14693076.97246679</v>
      </c>
      <c r="G29" t="inlineStr">
        <is>
          <t>원</t>
        </is>
      </c>
    </row>
    <row r="30">
      <c r="A30" t="inlineStr">
        <is>
          <t>S001-상추</t>
        </is>
      </c>
      <c r="B30" t="inlineStr">
        <is>
          <t>부산 금정구 농장</t>
        </is>
      </c>
      <c r="C30" t="inlineStr">
        <is>
          <t>상추</t>
        </is>
      </c>
      <c r="D30" t="inlineStr">
        <is>
          <t>10. 수익</t>
        </is>
      </c>
      <c r="E30" t="inlineStr">
        <is>
          <t>월 영업이익</t>
        </is>
      </c>
      <c r="F30" s="9" t="n">
        <v>-6191316.972466791</v>
      </c>
      <c r="G30" t="inlineStr">
        <is>
          <t>원</t>
        </is>
      </c>
    </row>
    <row r="31">
      <c r="A31" t="inlineStr">
        <is>
          <t>S001-상추</t>
        </is>
      </c>
      <c r="B31" t="inlineStr">
        <is>
          <t>부산 금정구 농장</t>
        </is>
      </c>
      <c r="C31" t="inlineStr">
        <is>
          <t>상추</t>
        </is>
      </c>
      <c r="D31" t="inlineStr">
        <is>
          <t>10. 수익</t>
        </is>
      </c>
      <c r="E31" t="inlineStr">
        <is>
          <t>공간 대여자 예상수익</t>
        </is>
      </c>
      <c r="F31" s="9" t="n">
        <v>-4953053.577973433</v>
      </c>
      <c r="G31" t="inlineStr">
        <is>
          <t>원</t>
        </is>
      </c>
    </row>
    <row r="32">
      <c r="A32" t="inlineStr">
        <is>
          <t>S001-상추</t>
        </is>
      </c>
      <c r="B32" t="inlineStr">
        <is>
          <t>부산 금정구 농장</t>
        </is>
      </c>
      <c r="C32" t="inlineStr">
        <is>
          <t>상추</t>
        </is>
      </c>
      <c r="D32" t="inlineStr">
        <is>
          <t>10. 수익</t>
        </is>
      </c>
      <c r="E32" t="inlineStr">
        <is>
          <t>원하는 월세</t>
        </is>
      </c>
      <c r="F32" s="9" t="n">
        <v>1200000</v>
      </c>
      <c r="G32" t="inlineStr">
        <is>
          <t>원</t>
        </is>
      </c>
    </row>
    <row r="33">
      <c r="A33" t="inlineStr">
        <is>
          <t>S001-상추</t>
        </is>
      </c>
      <c r="B33" t="inlineStr">
        <is>
          <t>부산 금정구 농장</t>
        </is>
      </c>
      <c r="C33" t="inlineStr">
        <is>
          <t>상추</t>
        </is>
      </c>
      <c r="D33" t="inlineStr">
        <is>
          <t>10. 수익</t>
        </is>
      </c>
      <c r="E33" t="inlineStr">
        <is>
          <t>공실 월세 대비 차이</t>
        </is>
      </c>
      <c r="F33" s="9" t="n">
        <v>-6153053.577973433</v>
      </c>
      <c r="G33" t="inlineStr">
        <is>
          <t>원</t>
        </is>
      </c>
    </row>
    <row r="34">
      <c r="A34" t="inlineStr">
        <is>
          <t>S001-상추</t>
        </is>
      </c>
      <c r="B34" t="inlineStr">
        <is>
          <t>부산 금정구 농장</t>
        </is>
      </c>
      <c r="C34" t="inlineStr">
        <is>
          <t>상추</t>
        </is>
      </c>
      <c r="D34" t="inlineStr">
        <is>
          <t>10. 수익</t>
        </is>
      </c>
      <c r="E34" t="inlineStr">
        <is>
          <t>사업장 영업이익</t>
        </is>
      </c>
      <c r="F34" s="9" t="n">
        <v>-1238263.394493358</v>
      </c>
      <c r="G34" t="inlineStr">
        <is>
          <t>원</t>
        </is>
      </c>
    </row>
    <row r="35">
      <c r="A35" t="inlineStr">
        <is>
          <t>S001-딸기</t>
        </is>
      </c>
      <c r="B35" t="inlineStr">
        <is>
          <t>부산 금정구 농장</t>
        </is>
      </c>
      <c r="C35" t="inlineStr">
        <is>
          <t>딸기</t>
        </is>
      </c>
      <c r="D35" t="inlineStr">
        <is>
          <t>1. 공간</t>
        </is>
      </c>
      <c r="E35" t="inlineStr">
        <is>
          <t>공실 전체면적</t>
        </is>
      </c>
      <c r="F35" s="8" t="n">
        <v>164</v>
      </c>
      <c r="G35" t="inlineStr">
        <is>
          <t>m²</t>
        </is>
      </c>
    </row>
    <row r="36">
      <c r="A36" t="inlineStr">
        <is>
          <t>S001-딸기</t>
        </is>
      </c>
      <c r="B36" t="inlineStr">
        <is>
          <t>부산 금정구 농장</t>
        </is>
      </c>
      <c r="C36" t="inlineStr">
        <is>
          <t>딸기</t>
        </is>
      </c>
      <c r="D36" t="inlineStr">
        <is>
          <t>1. 공간</t>
        </is>
      </c>
      <c r="E36" t="inlineStr">
        <is>
          <t>사용가능 바닥면적</t>
        </is>
      </c>
      <c r="F36" s="8" t="n">
        <v>98.39999999999999</v>
      </c>
      <c r="G36" t="inlineStr">
        <is>
          <t>m²</t>
        </is>
      </c>
    </row>
    <row r="37">
      <c r="A37" t="inlineStr">
        <is>
          <t>S001-딸기</t>
        </is>
      </c>
      <c r="B37" t="inlineStr">
        <is>
          <t>부산 금정구 농장</t>
        </is>
      </c>
      <c r="C37" t="inlineStr">
        <is>
          <t>딸기</t>
        </is>
      </c>
      <c r="D37" t="inlineStr">
        <is>
          <t>1. 공간</t>
        </is>
      </c>
      <c r="E37" t="inlineStr">
        <is>
          <t>재배면적</t>
        </is>
      </c>
      <c r="F37" s="8" t="n">
        <v>393.6</v>
      </c>
      <c r="G37" t="inlineStr">
        <is>
          <t>m²</t>
        </is>
      </c>
    </row>
    <row r="38">
      <c r="A38" t="inlineStr">
        <is>
          <t>S001-딸기</t>
        </is>
      </c>
      <c r="B38" t="inlineStr">
        <is>
          <t>부산 금정구 농장</t>
        </is>
      </c>
      <c r="C38" t="inlineStr">
        <is>
          <t>딸기</t>
        </is>
      </c>
      <c r="D38" t="inlineStr">
        <is>
          <t>1. 공간</t>
        </is>
      </c>
      <c r="E38" t="inlineStr">
        <is>
          <t>공간 체적</t>
        </is>
      </c>
      <c r="F38" s="8" t="n">
        <v>410</v>
      </c>
      <c r="G38" t="inlineStr">
        <is>
          <t>m³</t>
        </is>
      </c>
    </row>
    <row r="39">
      <c r="A39" t="inlineStr">
        <is>
          <t>S001-딸기</t>
        </is>
      </c>
      <c r="B39" t="inlineStr">
        <is>
          <t>부산 금정구 농장</t>
        </is>
      </c>
      <c r="C39" t="inlineStr">
        <is>
          <t>딸기</t>
        </is>
      </c>
      <c r="D39" t="inlineStr">
        <is>
          <t>2. 생산</t>
        </is>
      </c>
      <c r="E39" t="inlineStr">
        <is>
          <t>월 총생산량</t>
        </is>
      </c>
      <c r="F39" s="8" t="n">
        <v>610.0799999999999</v>
      </c>
      <c r="G39" t="inlineStr">
        <is>
          <t>kg</t>
        </is>
      </c>
    </row>
    <row r="40">
      <c r="A40" t="inlineStr">
        <is>
          <t>S001-딸기</t>
        </is>
      </c>
      <c r="B40" t="inlineStr">
        <is>
          <t>부산 금정구 농장</t>
        </is>
      </c>
      <c r="C40" t="inlineStr">
        <is>
          <t>딸기</t>
        </is>
      </c>
      <c r="D40" t="inlineStr">
        <is>
          <t>2. 생산</t>
        </is>
      </c>
      <c r="E40" t="inlineStr">
        <is>
          <t>월 판매량</t>
        </is>
      </c>
      <c r="F40" s="8" t="n">
        <v>549.072</v>
      </c>
      <c r="G40" t="inlineStr">
        <is>
          <t>kg</t>
        </is>
      </c>
    </row>
    <row r="41">
      <c r="A41" t="inlineStr">
        <is>
          <t>S001-딸기</t>
        </is>
      </c>
      <c r="B41" t="inlineStr">
        <is>
          <t>부산 금정구 농장</t>
        </is>
      </c>
      <c r="C41" t="inlineStr">
        <is>
          <t>딸기</t>
        </is>
      </c>
      <c r="D41" t="inlineStr">
        <is>
          <t>3. 매출</t>
        </is>
      </c>
      <c r="E41" t="inlineStr">
        <is>
          <t>판매가격</t>
        </is>
      </c>
      <c r="F41" s="9" t="n">
        <v>30000</v>
      </c>
      <c r="G41" t="inlineStr">
        <is>
          <t>원/kg</t>
        </is>
      </c>
    </row>
    <row r="42">
      <c r="A42" t="inlineStr">
        <is>
          <t>S001-딸기</t>
        </is>
      </c>
      <c r="B42" t="inlineStr">
        <is>
          <t>부산 금정구 농장</t>
        </is>
      </c>
      <c r="C42" t="inlineStr">
        <is>
          <t>딸기</t>
        </is>
      </c>
      <c r="D42" t="inlineStr">
        <is>
          <t>3. 매출</t>
        </is>
      </c>
      <c r="E42" t="inlineStr">
        <is>
          <t>월 매출</t>
        </is>
      </c>
      <c r="F42" s="9" t="n">
        <v>16472160</v>
      </c>
      <c r="G42" t="inlineStr">
        <is>
          <t>원</t>
        </is>
      </c>
    </row>
    <row r="43">
      <c r="A43" t="inlineStr">
        <is>
          <t>S001-딸기</t>
        </is>
      </c>
      <c r="B43" t="inlineStr">
        <is>
          <t>부산 금정구 농장</t>
        </is>
      </c>
      <c r="C43" t="inlineStr">
        <is>
          <t>딸기</t>
        </is>
      </c>
      <c r="D43" t="inlineStr">
        <is>
          <t>4. 조명·냉난방</t>
        </is>
      </c>
      <c r="E43" t="inlineStr">
        <is>
          <t>필요 조명전력</t>
        </is>
      </c>
      <c r="F43" s="8" t="n">
        <v>35142.85714285714</v>
      </c>
      <c r="G43" t="inlineStr">
        <is>
          <t>W</t>
        </is>
      </c>
    </row>
    <row r="44">
      <c r="A44" t="inlineStr">
        <is>
          <t>S001-딸기</t>
        </is>
      </c>
      <c r="B44" t="inlineStr">
        <is>
          <t>부산 금정구 농장</t>
        </is>
      </c>
      <c r="C44" t="inlineStr">
        <is>
          <t>딸기</t>
        </is>
      </c>
      <c r="D44" t="inlineStr">
        <is>
          <t>4. 조명·냉난방</t>
        </is>
      </c>
      <c r="E44" t="inlineStr">
        <is>
          <t>월 조명전력량</t>
        </is>
      </c>
      <c r="F44" s="8" t="n">
        <v>17102.85714285714</v>
      </c>
      <c r="G44" t="inlineStr">
        <is>
          <t>kWh</t>
        </is>
      </c>
    </row>
    <row r="45">
      <c r="A45" t="inlineStr">
        <is>
          <t>S001-딸기</t>
        </is>
      </c>
      <c r="B45" t="inlineStr">
        <is>
          <t>부산 금정구 농장</t>
        </is>
      </c>
      <c r="C45" t="inlineStr">
        <is>
          <t>딸기</t>
        </is>
      </c>
      <c r="D45" t="inlineStr">
        <is>
          <t>5. 습도</t>
        </is>
      </c>
      <c r="E45" t="inlineStr">
        <is>
          <t>월 증발산량</t>
        </is>
      </c>
      <c r="F45" s="8" t="n">
        <v>10774.8</v>
      </c>
      <c r="G45" t="inlineStr">
        <is>
          <t>kg</t>
        </is>
      </c>
    </row>
    <row r="46">
      <c r="A46" t="inlineStr">
        <is>
          <t>S001-딸기</t>
        </is>
      </c>
      <c r="B46" t="inlineStr">
        <is>
          <t>부산 금정구 농장</t>
        </is>
      </c>
      <c r="C46" t="inlineStr">
        <is>
          <t>딸기</t>
        </is>
      </c>
      <c r="D46" t="inlineStr">
        <is>
          <t>6. 전기비</t>
        </is>
      </c>
      <c r="E46" t="inlineStr">
        <is>
          <t>월평균 총 전력량</t>
        </is>
      </c>
      <c r="F46" s="8" t="n">
        <v>23892.66972313001</v>
      </c>
      <c r="G46" t="inlineStr">
        <is>
          <t>kWh</t>
        </is>
      </c>
    </row>
    <row r="47">
      <c r="A47" t="inlineStr">
        <is>
          <t>S001-딸기</t>
        </is>
      </c>
      <c r="B47" t="inlineStr">
        <is>
          <t>부산 금정구 농장</t>
        </is>
      </c>
      <c r="C47" t="inlineStr">
        <is>
          <t>딸기</t>
        </is>
      </c>
      <c r="D47" t="inlineStr">
        <is>
          <t>6. 전기비</t>
        </is>
      </c>
      <c r="E47" t="inlineStr">
        <is>
          <t>월 전기비</t>
        </is>
      </c>
      <c r="F47" s="9" t="n">
        <v>3703363.807085151</v>
      </c>
      <c r="G47" t="inlineStr">
        <is>
          <t>원</t>
        </is>
      </c>
    </row>
    <row r="48">
      <c r="A48" t="inlineStr">
        <is>
          <t>S001-딸기</t>
        </is>
      </c>
      <c r="B48" t="inlineStr">
        <is>
          <t>부산 금정구 농장</t>
        </is>
      </c>
      <c r="C48" t="inlineStr">
        <is>
          <t>딸기</t>
        </is>
      </c>
      <c r="D48" t="inlineStr">
        <is>
          <t>7. 수도비</t>
        </is>
      </c>
      <c r="E48" t="inlineStr">
        <is>
          <t>배액률</t>
        </is>
      </c>
      <c r="F48" s="10" t="n">
        <v>0.3</v>
      </c>
      <c r="G48" t="inlineStr">
        <is>
          <t>%</t>
        </is>
      </c>
    </row>
    <row r="49">
      <c r="A49" t="inlineStr">
        <is>
          <t>S001-딸기</t>
        </is>
      </c>
      <c r="B49" t="inlineStr">
        <is>
          <t>부산 금정구 농장</t>
        </is>
      </c>
      <c r="C49" t="inlineStr">
        <is>
          <t>딸기</t>
        </is>
      </c>
      <c r="D49" t="inlineStr">
        <is>
          <t>7. 수도비</t>
        </is>
      </c>
      <c r="E49" t="inlineStr">
        <is>
          <t>월 작물 순소비량</t>
        </is>
      </c>
      <c r="F49" s="8" t="n">
        <v>10.7748</v>
      </c>
      <c r="G49" t="inlineStr">
        <is>
          <t>m³</t>
        </is>
      </c>
    </row>
    <row r="50">
      <c r="A50" t="inlineStr">
        <is>
          <t>S001-딸기</t>
        </is>
      </c>
      <c r="B50" t="inlineStr">
        <is>
          <t>부산 금정구 농장</t>
        </is>
      </c>
      <c r="C50" t="inlineStr">
        <is>
          <t>딸기</t>
        </is>
      </c>
      <c r="D50" t="inlineStr">
        <is>
          <t>7. 수도비</t>
        </is>
      </c>
      <c r="E50" t="inlineStr">
        <is>
          <t>월 배액량</t>
        </is>
      </c>
      <c r="F50" s="8" t="n">
        <v>4.61777142857143</v>
      </c>
      <c r="G50" t="inlineStr">
        <is>
          <t>m³</t>
        </is>
      </c>
    </row>
    <row r="51">
      <c r="A51" t="inlineStr">
        <is>
          <t>S001-딸기</t>
        </is>
      </c>
      <c r="B51" t="inlineStr">
        <is>
          <t>부산 금정구 농장</t>
        </is>
      </c>
      <c r="C51" t="inlineStr">
        <is>
          <t>딸기</t>
        </is>
      </c>
      <c r="D51" t="inlineStr">
        <is>
          <t>7. 수도비</t>
        </is>
      </c>
      <c r="E51" t="inlineStr">
        <is>
          <t>월 작물 관수량</t>
        </is>
      </c>
      <c r="F51" s="8" t="n">
        <v>15.39257142857143</v>
      </c>
      <c r="G51" t="inlineStr">
        <is>
          <t>m³</t>
        </is>
      </c>
    </row>
    <row r="52">
      <c r="A52" t="inlineStr">
        <is>
          <t>S001-딸기</t>
        </is>
      </c>
      <c r="B52" t="inlineStr">
        <is>
          <t>부산 금정구 농장</t>
        </is>
      </c>
      <c r="C52" t="inlineStr">
        <is>
          <t>딸기</t>
        </is>
      </c>
      <c r="D52" t="inlineStr">
        <is>
          <t>7. 수도비</t>
        </is>
      </c>
      <c r="E52" t="inlineStr">
        <is>
          <t>월 기타 용수량</t>
        </is>
      </c>
      <c r="F52" s="8" t="n">
        <v>0.9976666666666668</v>
      </c>
      <c r="G52" t="inlineStr">
        <is>
          <t>m³</t>
        </is>
      </c>
    </row>
    <row r="53">
      <c r="A53" t="inlineStr">
        <is>
          <t>S001-딸기</t>
        </is>
      </c>
      <c r="B53" t="inlineStr">
        <is>
          <t>부산 금정구 농장</t>
        </is>
      </c>
      <c r="C53" t="inlineStr">
        <is>
          <t>딸기</t>
        </is>
      </c>
      <c r="D53" t="inlineStr">
        <is>
          <t>7. 수도비</t>
        </is>
      </c>
      <c r="E53" t="inlineStr">
        <is>
          <t>월 총 용수량</t>
        </is>
      </c>
      <c r="F53" s="8" t="n">
        <v>16.3902380952381</v>
      </c>
      <c r="G53" t="inlineStr">
        <is>
          <t>m³</t>
        </is>
      </c>
    </row>
    <row r="54">
      <c r="A54" t="inlineStr">
        <is>
          <t>S001-딸기</t>
        </is>
      </c>
      <c r="B54" t="inlineStr">
        <is>
          <t>부산 금정구 농장</t>
        </is>
      </c>
      <c r="C54" t="inlineStr">
        <is>
          <t>딸기</t>
        </is>
      </c>
      <c r="D54" t="inlineStr">
        <is>
          <t>7. 수도비</t>
        </is>
      </c>
      <c r="E54" t="inlineStr">
        <is>
          <t>월 수도비</t>
        </is>
      </c>
      <c r="F54" s="9" t="n">
        <v>37697.54761904763</v>
      </c>
      <c r="G54" t="inlineStr">
        <is>
          <t>원</t>
        </is>
      </c>
    </row>
    <row r="55">
      <c r="A55" t="inlineStr">
        <is>
          <t>S001-딸기</t>
        </is>
      </c>
      <c r="B55" t="inlineStr">
        <is>
          <t>부산 금정구 농장</t>
        </is>
      </c>
      <c r="C55" t="inlineStr">
        <is>
          <t>딸기</t>
        </is>
      </c>
      <c r="D55" t="inlineStr">
        <is>
          <t>8. 재료비</t>
        </is>
      </c>
      <c r="E55" t="inlineStr">
        <is>
          <t>월 모종비</t>
        </is>
      </c>
      <c r="F55" s="9" t="n">
        <v>2214000</v>
      </c>
      <c r="G55" t="inlineStr">
        <is>
          <t>원</t>
        </is>
      </c>
    </row>
    <row r="56">
      <c r="A56" t="inlineStr">
        <is>
          <t>S001-딸기</t>
        </is>
      </c>
      <c r="B56" t="inlineStr">
        <is>
          <t>부산 금정구 농장</t>
        </is>
      </c>
      <c r="C56" t="inlineStr">
        <is>
          <t>딸기</t>
        </is>
      </c>
      <c r="D56" t="inlineStr">
        <is>
          <t>8. 재료비</t>
        </is>
      </c>
      <c r="E56" t="inlineStr">
        <is>
          <t>월 기타 재료비</t>
        </is>
      </c>
      <c r="F56" s="9" t="n">
        <v>300000</v>
      </c>
      <c r="G56" t="inlineStr">
        <is>
          <t>원</t>
        </is>
      </c>
    </row>
    <row r="57">
      <c r="A57" t="inlineStr">
        <is>
          <t>S001-딸기</t>
        </is>
      </c>
      <c r="B57" t="inlineStr">
        <is>
          <t>부산 금정구 농장</t>
        </is>
      </c>
      <c r="C57" t="inlineStr">
        <is>
          <t>딸기</t>
        </is>
      </c>
      <c r="D57" t="inlineStr">
        <is>
          <t>8. 재료비</t>
        </is>
      </c>
      <c r="E57" t="inlineStr">
        <is>
          <t>월 재료비</t>
        </is>
      </c>
      <c r="F57" s="9" t="n">
        <v>2514000</v>
      </c>
      <c r="G57" t="inlineStr">
        <is>
          <t>원</t>
        </is>
      </c>
    </row>
    <row r="58">
      <c r="A58" t="inlineStr">
        <is>
          <t>S001-딸기</t>
        </is>
      </c>
      <c r="B58" t="inlineStr">
        <is>
          <t>부산 금정구 농장</t>
        </is>
      </c>
      <c r="C58" t="inlineStr">
        <is>
          <t>딸기</t>
        </is>
      </c>
      <c r="D58" t="inlineStr">
        <is>
          <t>9. 인건비</t>
        </is>
      </c>
      <c r="E58" t="inlineStr">
        <is>
          <t>월 노동시간</t>
        </is>
      </c>
      <c r="F58" s="8" t="n">
        <v>305.04</v>
      </c>
      <c r="G58" t="inlineStr">
        <is>
          <t>시간</t>
        </is>
      </c>
    </row>
    <row r="59">
      <c r="A59" t="inlineStr">
        <is>
          <t>S001-딸기</t>
        </is>
      </c>
      <c r="B59" t="inlineStr">
        <is>
          <t>부산 금정구 농장</t>
        </is>
      </c>
      <c r="C59" t="inlineStr">
        <is>
          <t>딸기</t>
        </is>
      </c>
      <c r="D59" t="inlineStr">
        <is>
          <t>9. 인건비</t>
        </is>
      </c>
      <c r="E59" t="inlineStr">
        <is>
          <t>월 인건비</t>
        </is>
      </c>
      <c r="F59" s="9" t="n">
        <v>3148012.8</v>
      </c>
      <c r="G59" t="inlineStr">
        <is>
          <t>원</t>
        </is>
      </c>
    </row>
    <row r="60">
      <c r="A60" t="inlineStr">
        <is>
          <t>S001-딸기</t>
        </is>
      </c>
      <c r="B60" t="inlineStr">
        <is>
          <t>부산 금정구 농장</t>
        </is>
      </c>
      <c r="C60" t="inlineStr">
        <is>
          <t>딸기</t>
        </is>
      </c>
      <c r="D60" t="inlineStr">
        <is>
          <t>10. 수익</t>
        </is>
      </c>
      <c r="E60" t="inlineStr">
        <is>
          <t>월 운영비</t>
        </is>
      </c>
      <c r="F60" s="9" t="n">
        <v>9503074.154704198</v>
      </c>
      <c r="G60" t="inlineStr">
        <is>
          <t>원</t>
        </is>
      </c>
    </row>
    <row r="61">
      <c r="A61" t="inlineStr">
        <is>
          <t>S001-딸기</t>
        </is>
      </c>
      <c r="B61" t="inlineStr">
        <is>
          <t>부산 금정구 농장</t>
        </is>
      </c>
      <c r="C61" t="inlineStr">
        <is>
          <t>딸기</t>
        </is>
      </c>
      <c r="D61" t="inlineStr">
        <is>
          <t>10. 수익</t>
        </is>
      </c>
      <c r="E61" t="inlineStr">
        <is>
          <t>월 영업이익</t>
        </is>
      </c>
      <c r="F61" s="9" t="n">
        <v>6969085.845295802</v>
      </c>
      <c r="G61" t="inlineStr">
        <is>
          <t>원</t>
        </is>
      </c>
    </row>
    <row r="62">
      <c r="A62" t="inlineStr">
        <is>
          <t>S001-딸기</t>
        </is>
      </c>
      <c r="B62" t="inlineStr">
        <is>
          <t>부산 금정구 농장</t>
        </is>
      </c>
      <c r="C62" t="inlineStr">
        <is>
          <t>딸기</t>
        </is>
      </c>
      <c r="D62" t="inlineStr">
        <is>
          <t>10. 수익</t>
        </is>
      </c>
      <c r="E62" t="inlineStr">
        <is>
          <t>공간 대여자 예상수익</t>
        </is>
      </c>
      <c r="F62" s="9" t="n">
        <v>5575268.676236642</v>
      </c>
      <c r="G62" t="inlineStr">
        <is>
          <t>원</t>
        </is>
      </c>
    </row>
    <row r="63">
      <c r="A63" t="inlineStr">
        <is>
          <t>S001-딸기</t>
        </is>
      </c>
      <c r="B63" t="inlineStr">
        <is>
          <t>부산 금정구 농장</t>
        </is>
      </c>
      <c r="C63" t="inlineStr">
        <is>
          <t>딸기</t>
        </is>
      </c>
      <c r="D63" t="inlineStr">
        <is>
          <t>10. 수익</t>
        </is>
      </c>
      <c r="E63" t="inlineStr">
        <is>
          <t>원하는 월세</t>
        </is>
      </c>
      <c r="F63" s="9" t="n">
        <v>1200000</v>
      </c>
      <c r="G63" t="inlineStr">
        <is>
          <t>원</t>
        </is>
      </c>
    </row>
    <row r="64">
      <c r="A64" t="inlineStr">
        <is>
          <t>S001-딸기</t>
        </is>
      </c>
      <c r="B64" t="inlineStr">
        <is>
          <t>부산 금정구 농장</t>
        </is>
      </c>
      <c r="C64" t="inlineStr">
        <is>
          <t>딸기</t>
        </is>
      </c>
      <c r="D64" t="inlineStr">
        <is>
          <t>10. 수익</t>
        </is>
      </c>
      <c r="E64" t="inlineStr">
        <is>
          <t>공실 월세 대비 차이</t>
        </is>
      </c>
      <c r="F64" s="9" t="n">
        <v>4375268.676236642</v>
      </c>
      <c r="G64" t="inlineStr">
        <is>
          <t>원</t>
        </is>
      </c>
    </row>
    <row r="65">
      <c r="A65" t="inlineStr">
        <is>
          <t>S001-딸기</t>
        </is>
      </c>
      <c r="B65" t="inlineStr">
        <is>
          <t>부산 금정구 농장</t>
        </is>
      </c>
      <c r="C65" t="inlineStr">
        <is>
          <t>딸기</t>
        </is>
      </c>
      <c r="D65" t="inlineStr">
        <is>
          <t>10. 수익</t>
        </is>
      </c>
      <c r="E65" t="inlineStr">
        <is>
          <t>사업장 영업이익</t>
        </is>
      </c>
      <c r="F65" s="9" t="n">
        <v>1393817.16905916</v>
      </c>
      <c r="G65" t="inlineStr">
        <is>
          <t>원</t>
        </is>
      </c>
    </row>
    <row r="66">
      <c r="A66" t="inlineStr">
        <is>
          <t>S001-바질</t>
        </is>
      </c>
      <c r="B66" t="inlineStr">
        <is>
          <t>부산 금정구 농장</t>
        </is>
      </c>
      <c r="C66" t="inlineStr">
        <is>
          <t>바질</t>
        </is>
      </c>
      <c r="D66" t="inlineStr">
        <is>
          <t>1. 공간</t>
        </is>
      </c>
      <c r="E66" t="inlineStr">
        <is>
          <t>공실 전체면적</t>
        </is>
      </c>
      <c r="F66" s="8" t="n">
        <v>164</v>
      </c>
      <c r="G66" t="inlineStr">
        <is>
          <t>m²</t>
        </is>
      </c>
    </row>
    <row r="67">
      <c r="A67" t="inlineStr">
        <is>
          <t>S001-바질</t>
        </is>
      </c>
      <c r="B67" t="inlineStr">
        <is>
          <t>부산 금정구 농장</t>
        </is>
      </c>
      <c r="C67" t="inlineStr">
        <is>
          <t>바질</t>
        </is>
      </c>
      <c r="D67" t="inlineStr">
        <is>
          <t>1. 공간</t>
        </is>
      </c>
      <c r="E67" t="inlineStr">
        <is>
          <t>사용가능 바닥면적</t>
        </is>
      </c>
      <c r="F67" s="8" t="n">
        <v>98.39999999999999</v>
      </c>
      <c r="G67" t="inlineStr">
        <is>
          <t>m²</t>
        </is>
      </c>
    </row>
    <row r="68">
      <c r="A68" t="inlineStr">
        <is>
          <t>S001-바질</t>
        </is>
      </c>
      <c r="B68" t="inlineStr">
        <is>
          <t>부산 금정구 농장</t>
        </is>
      </c>
      <c r="C68" t="inlineStr">
        <is>
          <t>바질</t>
        </is>
      </c>
      <c r="D68" t="inlineStr">
        <is>
          <t>1. 공간</t>
        </is>
      </c>
      <c r="E68" t="inlineStr">
        <is>
          <t>재배면적</t>
        </is>
      </c>
      <c r="F68" s="8" t="n">
        <v>393.6</v>
      </c>
      <c r="G68" t="inlineStr">
        <is>
          <t>m²</t>
        </is>
      </c>
    </row>
    <row r="69">
      <c r="A69" t="inlineStr">
        <is>
          <t>S001-바질</t>
        </is>
      </c>
      <c r="B69" t="inlineStr">
        <is>
          <t>부산 금정구 농장</t>
        </is>
      </c>
      <c r="C69" t="inlineStr">
        <is>
          <t>바질</t>
        </is>
      </c>
      <c r="D69" t="inlineStr">
        <is>
          <t>1. 공간</t>
        </is>
      </c>
      <c r="E69" t="inlineStr">
        <is>
          <t>공간 체적</t>
        </is>
      </c>
      <c r="F69" s="8" t="n">
        <v>410</v>
      </c>
      <c r="G69" t="inlineStr">
        <is>
          <t>m³</t>
        </is>
      </c>
    </row>
    <row r="70">
      <c r="A70" t="inlineStr">
        <is>
          <t>S001-바질</t>
        </is>
      </c>
      <c r="B70" t="inlineStr">
        <is>
          <t>부산 금정구 농장</t>
        </is>
      </c>
      <c r="C70" t="inlineStr">
        <is>
          <t>바질</t>
        </is>
      </c>
      <c r="D70" t="inlineStr">
        <is>
          <t>2. 생산</t>
        </is>
      </c>
      <c r="E70" t="inlineStr">
        <is>
          <t>월 총생산량</t>
        </is>
      </c>
      <c r="F70" s="8" t="n">
        <v>944.6400000000001</v>
      </c>
      <c r="G70" t="inlineStr">
        <is>
          <t>kg</t>
        </is>
      </c>
    </row>
    <row r="71">
      <c r="A71" t="inlineStr">
        <is>
          <t>S001-바질</t>
        </is>
      </c>
      <c r="B71" t="inlineStr">
        <is>
          <t>부산 금정구 농장</t>
        </is>
      </c>
      <c r="C71" t="inlineStr">
        <is>
          <t>바질</t>
        </is>
      </c>
      <c r="D71" t="inlineStr">
        <is>
          <t>2. 생산</t>
        </is>
      </c>
      <c r="E71" t="inlineStr">
        <is>
          <t>월 판매량</t>
        </is>
      </c>
      <c r="F71" s="8" t="n">
        <v>850.1760000000002</v>
      </c>
      <c r="G71" t="inlineStr">
        <is>
          <t>kg</t>
        </is>
      </c>
    </row>
    <row r="72">
      <c r="A72" t="inlineStr">
        <is>
          <t>S001-바질</t>
        </is>
      </c>
      <c r="B72" t="inlineStr">
        <is>
          <t>부산 금정구 농장</t>
        </is>
      </c>
      <c r="C72" t="inlineStr">
        <is>
          <t>바질</t>
        </is>
      </c>
      <c r="D72" t="inlineStr">
        <is>
          <t>3. 매출</t>
        </is>
      </c>
      <c r="E72" t="inlineStr">
        <is>
          <t>판매가격</t>
        </is>
      </c>
      <c r="F72" s="9" t="n">
        <v>20000</v>
      </c>
      <c r="G72" t="inlineStr">
        <is>
          <t>원/kg</t>
        </is>
      </c>
    </row>
    <row r="73">
      <c r="A73" t="inlineStr">
        <is>
          <t>S001-바질</t>
        </is>
      </c>
      <c r="B73" t="inlineStr">
        <is>
          <t>부산 금정구 농장</t>
        </is>
      </c>
      <c r="C73" t="inlineStr">
        <is>
          <t>바질</t>
        </is>
      </c>
      <c r="D73" t="inlineStr">
        <is>
          <t>3. 매출</t>
        </is>
      </c>
      <c r="E73" t="inlineStr">
        <is>
          <t>월 매출</t>
        </is>
      </c>
      <c r="F73" s="9" t="n">
        <v>17003520</v>
      </c>
      <c r="G73" t="inlineStr">
        <is>
          <t>원</t>
        </is>
      </c>
    </row>
    <row r="74">
      <c r="A74" t="inlineStr">
        <is>
          <t>S001-바질</t>
        </is>
      </c>
      <c r="B74" t="inlineStr">
        <is>
          <t>부산 금정구 농장</t>
        </is>
      </c>
      <c r="C74" t="inlineStr">
        <is>
          <t>바질</t>
        </is>
      </c>
      <c r="D74" t="inlineStr">
        <is>
          <t>4. 조명·냉난방</t>
        </is>
      </c>
      <c r="E74" t="inlineStr">
        <is>
          <t>필요 조명전력</t>
        </is>
      </c>
      <c r="F74" s="8" t="n">
        <v>35142.85714285714</v>
      </c>
      <c r="G74" t="inlineStr">
        <is>
          <t>W</t>
        </is>
      </c>
    </row>
    <row r="75">
      <c r="A75" t="inlineStr">
        <is>
          <t>S001-바질</t>
        </is>
      </c>
      <c r="B75" t="inlineStr">
        <is>
          <t>부산 금정구 농장</t>
        </is>
      </c>
      <c r="C75" t="inlineStr">
        <is>
          <t>바질</t>
        </is>
      </c>
      <c r="D75" t="inlineStr">
        <is>
          <t>4. 조명·냉난방</t>
        </is>
      </c>
      <c r="E75" t="inlineStr">
        <is>
          <t>월 조명전력량</t>
        </is>
      </c>
      <c r="F75" s="8" t="n">
        <v>17102.85714285714</v>
      </c>
      <c r="G75" t="inlineStr">
        <is>
          <t>kWh</t>
        </is>
      </c>
    </row>
    <row r="76">
      <c r="A76" t="inlineStr">
        <is>
          <t>S001-바질</t>
        </is>
      </c>
      <c r="B76" t="inlineStr">
        <is>
          <t>부산 금정구 농장</t>
        </is>
      </c>
      <c r="C76" t="inlineStr">
        <is>
          <t>바질</t>
        </is>
      </c>
      <c r="D76" t="inlineStr">
        <is>
          <t>5. 습도</t>
        </is>
      </c>
      <c r="E76" t="inlineStr">
        <is>
          <t>월 증발산량</t>
        </is>
      </c>
      <c r="F76" s="8" t="n">
        <v>13169.2</v>
      </c>
      <c r="G76" t="inlineStr">
        <is>
          <t>kg</t>
        </is>
      </c>
    </row>
    <row r="77">
      <c r="A77" t="inlineStr">
        <is>
          <t>S001-바질</t>
        </is>
      </c>
      <c r="B77" t="inlineStr">
        <is>
          <t>부산 금정구 농장</t>
        </is>
      </c>
      <c r="C77" t="inlineStr">
        <is>
          <t>바질</t>
        </is>
      </c>
      <c r="D77" t="inlineStr">
        <is>
          <t>6. 전기비</t>
        </is>
      </c>
      <c r="E77" t="inlineStr">
        <is>
          <t>월평균 총 전력량</t>
        </is>
      </c>
      <c r="F77" s="8" t="n">
        <v>25044.23236566627</v>
      </c>
      <c r="G77" t="inlineStr">
        <is>
          <t>kWh</t>
        </is>
      </c>
    </row>
    <row r="78">
      <c r="A78" t="inlineStr">
        <is>
          <t>S001-바질</t>
        </is>
      </c>
      <c r="B78" t="inlineStr">
        <is>
          <t>부산 금정구 농장</t>
        </is>
      </c>
      <c r="C78" t="inlineStr">
        <is>
          <t>바질</t>
        </is>
      </c>
      <c r="D78" t="inlineStr">
        <is>
          <t>6. 전기비</t>
        </is>
      </c>
      <c r="E78" t="inlineStr">
        <is>
          <t>월 전기비</t>
        </is>
      </c>
      <c r="F78" s="9" t="n">
        <v>3881856.016678272</v>
      </c>
      <c r="G78" t="inlineStr">
        <is>
          <t>원</t>
        </is>
      </c>
    </row>
    <row r="79">
      <c r="A79" t="inlineStr">
        <is>
          <t>S001-바질</t>
        </is>
      </c>
      <c r="B79" t="inlineStr">
        <is>
          <t>부산 금정구 농장</t>
        </is>
      </c>
      <c r="C79" t="inlineStr">
        <is>
          <t>바질</t>
        </is>
      </c>
      <c r="D79" t="inlineStr">
        <is>
          <t>7. 수도비</t>
        </is>
      </c>
      <c r="E79" t="inlineStr">
        <is>
          <t>배액률</t>
        </is>
      </c>
      <c r="F79" s="10" t="n">
        <v>0.3</v>
      </c>
      <c r="G79" t="inlineStr">
        <is>
          <t>%</t>
        </is>
      </c>
    </row>
    <row r="80">
      <c r="A80" t="inlineStr">
        <is>
          <t>S001-바질</t>
        </is>
      </c>
      <c r="B80" t="inlineStr">
        <is>
          <t>부산 금정구 농장</t>
        </is>
      </c>
      <c r="C80" t="inlineStr">
        <is>
          <t>바질</t>
        </is>
      </c>
      <c r="D80" t="inlineStr">
        <is>
          <t>7. 수도비</t>
        </is>
      </c>
      <c r="E80" t="inlineStr">
        <is>
          <t>월 작물 순소비량</t>
        </is>
      </c>
      <c r="F80" s="8" t="n">
        <v>13.1692</v>
      </c>
      <c r="G80" t="inlineStr">
        <is>
          <t>m³</t>
        </is>
      </c>
    </row>
    <row r="81">
      <c r="A81" t="inlineStr">
        <is>
          <t>S001-바질</t>
        </is>
      </c>
      <c r="B81" t="inlineStr">
        <is>
          <t>부산 금정구 농장</t>
        </is>
      </c>
      <c r="C81" t="inlineStr">
        <is>
          <t>바질</t>
        </is>
      </c>
      <c r="D81" t="inlineStr">
        <is>
          <t>7. 수도비</t>
        </is>
      </c>
      <c r="E81" t="inlineStr">
        <is>
          <t>월 배액량</t>
        </is>
      </c>
      <c r="F81" s="8" t="n">
        <v>5.643942857142858</v>
      </c>
      <c r="G81" t="inlineStr">
        <is>
          <t>m³</t>
        </is>
      </c>
    </row>
    <row r="82">
      <c r="A82" t="inlineStr">
        <is>
          <t>S001-바질</t>
        </is>
      </c>
      <c r="B82" t="inlineStr">
        <is>
          <t>부산 금정구 농장</t>
        </is>
      </c>
      <c r="C82" t="inlineStr">
        <is>
          <t>바질</t>
        </is>
      </c>
      <c r="D82" t="inlineStr">
        <is>
          <t>7. 수도비</t>
        </is>
      </c>
      <c r="E82" t="inlineStr">
        <is>
          <t>월 작물 관수량</t>
        </is>
      </c>
      <c r="F82" s="8" t="n">
        <v>18.81314285714286</v>
      </c>
      <c r="G82" t="inlineStr">
        <is>
          <t>m³</t>
        </is>
      </c>
    </row>
    <row r="83">
      <c r="A83" t="inlineStr">
        <is>
          <t>S001-바질</t>
        </is>
      </c>
      <c r="B83" t="inlineStr">
        <is>
          <t>부산 금정구 농장</t>
        </is>
      </c>
      <c r="C83" t="inlineStr">
        <is>
          <t>바질</t>
        </is>
      </c>
      <c r="D83" t="inlineStr">
        <is>
          <t>7. 수도비</t>
        </is>
      </c>
      <c r="E83" t="inlineStr">
        <is>
          <t>월 기타 용수량</t>
        </is>
      </c>
      <c r="F83" s="8" t="n">
        <v>0.9976666666666668</v>
      </c>
      <c r="G83" t="inlineStr">
        <is>
          <t>m³</t>
        </is>
      </c>
    </row>
    <row r="84">
      <c r="A84" t="inlineStr">
        <is>
          <t>S001-바질</t>
        </is>
      </c>
      <c r="B84" t="inlineStr">
        <is>
          <t>부산 금정구 농장</t>
        </is>
      </c>
      <c r="C84" t="inlineStr">
        <is>
          <t>바질</t>
        </is>
      </c>
      <c r="D84" t="inlineStr">
        <is>
          <t>7. 수도비</t>
        </is>
      </c>
      <c r="E84" t="inlineStr">
        <is>
          <t>월 총 용수량</t>
        </is>
      </c>
      <c r="F84" s="8" t="n">
        <v>19.81080952380953</v>
      </c>
      <c r="G84" t="inlineStr">
        <is>
          <t>m³</t>
        </is>
      </c>
    </row>
    <row r="85">
      <c r="A85" t="inlineStr">
        <is>
          <t>S001-바질</t>
        </is>
      </c>
      <c r="B85" t="inlineStr">
        <is>
          <t>부산 금정구 농장</t>
        </is>
      </c>
      <c r="C85" t="inlineStr">
        <is>
          <t>바질</t>
        </is>
      </c>
      <c r="D85" t="inlineStr">
        <is>
          <t>7. 수도비</t>
        </is>
      </c>
      <c r="E85" t="inlineStr">
        <is>
          <t>월 수도비</t>
        </is>
      </c>
      <c r="F85" s="9" t="n">
        <v>45564.86190476191</v>
      </c>
      <c r="G85" t="inlineStr">
        <is>
          <t>원</t>
        </is>
      </c>
    </row>
    <row r="86">
      <c r="A86" t="inlineStr">
        <is>
          <t>S001-바질</t>
        </is>
      </c>
      <c r="B86" t="inlineStr">
        <is>
          <t>부산 금정구 농장</t>
        </is>
      </c>
      <c r="C86" t="inlineStr">
        <is>
          <t>바질</t>
        </is>
      </c>
      <c r="D86" t="inlineStr">
        <is>
          <t>8. 재료비</t>
        </is>
      </c>
      <c r="E86" t="inlineStr">
        <is>
          <t>월 모종비</t>
        </is>
      </c>
      <c r="F86" s="9" t="n">
        <v>4723200</v>
      </c>
      <c r="G86" t="inlineStr">
        <is>
          <t>원</t>
        </is>
      </c>
    </row>
    <row r="87">
      <c r="A87" t="inlineStr">
        <is>
          <t>S001-바질</t>
        </is>
      </c>
      <c r="B87" t="inlineStr">
        <is>
          <t>부산 금정구 농장</t>
        </is>
      </c>
      <c r="C87" t="inlineStr">
        <is>
          <t>바질</t>
        </is>
      </c>
      <c r="D87" t="inlineStr">
        <is>
          <t>8. 재료비</t>
        </is>
      </c>
      <c r="E87" t="inlineStr">
        <is>
          <t>월 기타 재료비</t>
        </is>
      </c>
      <c r="F87" s="9" t="n">
        <v>300000</v>
      </c>
      <c r="G87" t="inlineStr">
        <is>
          <t>원</t>
        </is>
      </c>
    </row>
    <row r="88">
      <c r="A88" t="inlineStr">
        <is>
          <t>S001-바질</t>
        </is>
      </c>
      <c r="B88" t="inlineStr">
        <is>
          <t>부산 금정구 농장</t>
        </is>
      </c>
      <c r="C88" t="inlineStr">
        <is>
          <t>바질</t>
        </is>
      </c>
      <c r="D88" t="inlineStr">
        <is>
          <t>8. 재료비</t>
        </is>
      </c>
      <c r="E88" t="inlineStr">
        <is>
          <t>월 재료비</t>
        </is>
      </c>
      <c r="F88" s="9" t="n">
        <v>5023200</v>
      </c>
      <c r="G88" t="inlineStr">
        <is>
          <t>원</t>
        </is>
      </c>
    </row>
    <row r="89">
      <c r="A89" t="inlineStr">
        <is>
          <t>S001-바질</t>
        </is>
      </c>
      <c r="B89" t="inlineStr">
        <is>
          <t>부산 금정구 농장</t>
        </is>
      </c>
      <c r="C89" t="inlineStr">
        <is>
          <t>바질</t>
        </is>
      </c>
      <c r="D89" t="inlineStr">
        <is>
          <t>9. 인건비</t>
        </is>
      </c>
      <c r="E89" t="inlineStr">
        <is>
          <t>월 노동시간</t>
        </is>
      </c>
      <c r="F89" s="8" t="n">
        <v>472.3200000000001</v>
      </c>
      <c r="G89" t="inlineStr">
        <is>
          <t>시간</t>
        </is>
      </c>
    </row>
    <row r="90">
      <c r="A90" t="inlineStr">
        <is>
          <t>S001-바질</t>
        </is>
      </c>
      <c r="B90" t="inlineStr">
        <is>
          <t>부산 금정구 농장</t>
        </is>
      </c>
      <c r="C90" t="inlineStr">
        <is>
          <t>바질</t>
        </is>
      </c>
      <c r="D90" t="inlineStr">
        <is>
          <t>9. 인건비</t>
        </is>
      </c>
      <c r="E90" t="inlineStr">
        <is>
          <t>월 인건비</t>
        </is>
      </c>
      <c r="F90" s="9" t="n">
        <v>4874342.4</v>
      </c>
      <c r="G90" t="inlineStr">
        <is>
          <t>원</t>
        </is>
      </c>
    </row>
    <row r="91">
      <c r="A91" t="inlineStr">
        <is>
          <t>S001-바질</t>
        </is>
      </c>
      <c r="B91" t="inlineStr">
        <is>
          <t>부산 금정구 농장</t>
        </is>
      </c>
      <c r="C91" t="inlineStr">
        <is>
          <t>바질</t>
        </is>
      </c>
      <c r="D91" t="inlineStr">
        <is>
          <t>10. 수익</t>
        </is>
      </c>
      <c r="E91" t="inlineStr">
        <is>
          <t>월 운영비</t>
        </is>
      </c>
      <c r="F91" s="9" t="n">
        <v>13924963.27858303</v>
      </c>
      <c r="G91" t="inlineStr">
        <is>
          <t>원</t>
        </is>
      </c>
    </row>
    <row r="92">
      <c r="A92" t="inlineStr">
        <is>
          <t>S001-바질</t>
        </is>
      </c>
      <c r="B92" t="inlineStr">
        <is>
          <t>부산 금정구 농장</t>
        </is>
      </c>
      <c r="C92" t="inlineStr">
        <is>
          <t>바질</t>
        </is>
      </c>
      <c r="D92" t="inlineStr">
        <is>
          <t>10. 수익</t>
        </is>
      </c>
      <c r="E92" t="inlineStr">
        <is>
          <t>월 영업이익</t>
        </is>
      </c>
      <c r="F92" s="9" t="n">
        <v>3078556.721416969</v>
      </c>
      <c r="G92" t="inlineStr">
        <is>
          <t>원</t>
        </is>
      </c>
    </row>
    <row r="93">
      <c r="A93" t="inlineStr">
        <is>
          <t>S001-바질</t>
        </is>
      </c>
      <c r="B93" t="inlineStr">
        <is>
          <t>부산 금정구 농장</t>
        </is>
      </c>
      <c r="C93" t="inlineStr">
        <is>
          <t>바질</t>
        </is>
      </c>
      <c r="D93" t="inlineStr">
        <is>
          <t>10. 수익</t>
        </is>
      </c>
      <c r="E93" t="inlineStr">
        <is>
          <t>공간 대여자 예상수익</t>
        </is>
      </c>
      <c r="F93" s="9" t="n">
        <v>2462845.377133575</v>
      </c>
      <c r="G93" t="inlineStr">
        <is>
          <t>원</t>
        </is>
      </c>
    </row>
    <row r="94">
      <c r="A94" t="inlineStr">
        <is>
          <t>S001-바질</t>
        </is>
      </c>
      <c r="B94" t="inlineStr">
        <is>
          <t>부산 금정구 농장</t>
        </is>
      </c>
      <c r="C94" t="inlineStr">
        <is>
          <t>바질</t>
        </is>
      </c>
      <c r="D94" t="inlineStr">
        <is>
          <t>10. 수익</t>
        </is>
      </c>
      <c r="E94" t="inlineStr">
        <is>
          <t>원하는 월세</t>
        </is>
      </c>
      <c r="F94" s="9" t="n">
        <v>1200000</v>
      </c>
      <c r="G94" t="inlineStr">
        <is>
          <t>원</t>
        </is>
      </c>
    </row>
    <row r="95">
      <c r="A95" t="inlineStr">
        <is>
          <t>S001-바질</t>
        </is>
      </c>
      <c r="B95" t="inlineStr">
        <is>
          <t>부산 금정구 농장</t>
        </is>
      </c>
      <c r="C95" t="inlineStr">
        <is>
          <t>바질</t>
        </is>
      </c>
      <c r="D95" t="inlineStr">
        <is>
          <t>10. 수익</t>
        </is>
      </c>
      <c r="E95" t="inlineStr">
        <is>
          <t>공실 월세 대비 차이</t>
        </is>
      </c>
      <c r="F95" s="9" t="n">
        <v>1262845.377133575</v>
      </c>
      <c r="G95" t="inlineStr">
        <is>
          <t>원</t>
        </is>
      </c>
    </row>
    <row r="96">
      <c r="A96" t="inlineStr">
        <is>
          <t>S001-바질</t>
        </is>
      </c>
      <c r="B96" t="inlineStr">
        <is>
          <t>부산 금정구 농장</t>
        </is>
      </c>
      <c r="C96" t="inlineStr">
        <is>
          <t>바질</t>
        </is>
      </c>
      <c r="D96" t="inlineStr">
        <is>
          <t>10. 수익</t>
        </is>
      </c>
      <c r="E96" t="inlineStr">
        <is>
          <t>사업장 영업이익</t>
        </is>
      </c>
      <c r="F96" s="9" t="n">
        <v>615711.3442833936</v>
      </c>
      <c r="G96" t="inlineStr">
        <is>
          <t>원</t>
        </is>
      </c>
    </row>
    <row r="97">
      <c r="A97" t="inlineStr">
        <is>
          <t>S002-상추</t>
        </is>
      </c>
      <c r="B97" t="inlineStr">
        <is>
          <t>부산 해운대 농장</t>
        </is>
      </c>
      <c r="C97" t="inlineStr">
        <is>
          <t>상추</t>
        </is>
      </c>
      <c r="D97" t="inlineStr">
        <is>
          <t>1. 공간</t>
        </is>
      </c>
      <c r="E97" t="inlineStr">
        <is>
          <t>공실 전체면적</t>
        </is>
      </c>
      <c r="F97" s="8" t="n">
        <v>66</v>
      </c>
      <c r="G97" t="inlineStr">
        <is>
          <t>m²</t>
        </is>
      </c>
    </row>
    <row r="98">
      <c r="A98" t="inlineStr">
        <is>
          <t>S002-상추</t>
        </is>
      </c>
      <c r="B98" t="inlineStr">
        <is>
          <t>부산 해운대 농장</t>
        </is>
      </c>
      <c r="C98" t="inlineStr">
        <is>
          <t>상추</t>
        </is>
      </c>
      <c r="D98" t="inlineStr">
        <is>
          <t>1. 공간</t>
        </is>
      </c>
      <c r="E98" t="inlineStr">
        <is>
          <t>사용가능 바닥면적</t>
        </is>
      </c>
      <c r="F98" s="8" t="n">
        <v>39.6</v>
      </c>
      <c r="G98" t="inlineStr">
        <is>
          <t>m²</t>
        </is>
      </c>
    </row>
    <row r="99">
      <c r="A99" t="inlineStr">
        <is>
          <t>S002-상추</t>
        </is>
      </c>
      <c r="B99" t="inlineStr">
        <is>
          <t>부산 해운대 농장</t>
        </is>
      </c>
      <c r="C99" t="inlineStr">
        <is>
          <t>상추</t>
        </is>
      </c>
      <c r="D99" t="inlineStr">
        <is>
          <t>1. 공간</t>
        </is>
      </c>
      <c r="E99" t="inlineStr">
        <is>
          <t>재배면적</t>
        </is>
      </c>
      <c r="F99" s="8" t="n">
        <v>158.4</v>
      </c>
      <c r="G99" t="inlineStr">
        <is>
          <t>m²</t>
        </is>
      </c>
    </row>
    <row r="100">
      <c r="A100" t="inlineStr">
        <is>
          <t>S002-상추</t>
        </is>
      </c>
      <c r="B100" t="inlineStr">
        <is>
          <t>부산 해운대 농장</t>
        </is>
      </c>
      <c r="C100" t="inlineStr">
        <is>
          <t>상추</t>
        </is>
      </c>
      <c r="D100" t="inlineStr">
        <is>
          <t>1. 공간</t>
        </is>
      </c>
      <c r="E100" t="inlineStr">
        <is>
          <t>공간 체적</t>
        </is>
      </c>
      <c r="F100" s="8" t="n">
        <v>165</v>
      </c>
      <c r="G100" t="inlineStr">
        <is>
          <t>m³</t>
        </is>
      </c>
    </row>
    <row r="101">
      <c r="A101" t="inlineStr">
        <is>
          <t>S002-상추</t>
        </is>
      </c>
      <c r="B101" t="inlineStr">
        <is>
          <t>부산 해운대 농장</t>
        </is>
      </c>
      <c r="C101" t="inlineStr">
        <is>
          <t>상추</t>
        </is>
      </c>
      <c r="D101" t="inlineStr">
        <is>
          <t>2. 생산</t>
        </is>
      </c>
      <c r="E101" t="inlineStr">
        <is>
          <t>월 총생산량</t>
        </is>
      </c>
      <c r="F101" s="8" t="n">
        <v>475.2</v>
      </c>
      <c r="G101" t="inlineStr">
        <is>
          <t>kg</t>
        </is>
      </c>
    </row>
    <row r="102">
      <c r="A102" t="inlineStr">
        <is>
          <t>S002-상추</t>
        </is>
      </c>
      <c r="B102" t="inlineStr">
        <is>
          <t>부산 해운대 농장</t>
        </is>
      </c>
      <c r="C102" t="inlineStr">
        <is>
          <t>상추</t>
        </is>
      </c>
      <c r="D102" t="inlineStr">
        <is>
          <t>2. 생산</t>
        </is>
      </c>
      <c r="E102" t="inlineStr">
        <is>
          <t>월 판매량</t>
        </is>
      </c>
      <c r="F102" s="8" t="n">
        <v>427.6800000000001</v>
      </c>
      <c r="G102" t="inlineStr">
        <is>
          <t>kg</t>
        </is>
      </c>
    </row>
    <row r="103">
      <c r="A103" t="inlineStr">
        <is>
          <t>S002-상추</t>
        </is>
      </c>
      <c r="B103" t="inlineStr">
        <is>
          <t>부산 해운대 농장</t>
        </is>
      </c>
      <c r="C103" t="inlineStr">
        <is>
          <t>상추</t>
        </is>
      </c>
      <c r="D103" t="inlineStr">
        <is>
          <t>3. 매출</t>
        </is>
      </c>
      <c r="E103" t="inlineStr">
        <is>
          <t>판매가격</t>
        </is>
      </c>
      <c r="F103" s="9" t="n">
        <v>8000</v>
      </c>
      <c r="G103" t="inlineStr">
        <is>
          <t>원/kg</t>
        </is>
      </c>
    </row>
    <row r="104">
      <c r="A104" t="inlineStr">
        <is>
          <t>S002-상추</t>
        </is>
      </c>
      <c r="B104" t="inlineStr">
        <is>
          <t>부산 해운대 농장</t>
        </is>
      </c>
      <c r="C104" t="inlineStr">
        <is>
          <t>상추</t>
        </is>
      </c>
      <c r="D104" t="inlineStr">
        <is>
          <t>3. 매출</t>
        </is>
      </c>
      <c r="E104" t="inlineStr">
        <is>
          <t>월 매출</t>
        </is>
      </c>
      <c r="F104" s="9" t="n">
        <v>3421440</v>
      </c>
      <c r="G104" t="inlineStr">
        <is>
          <t>원</t>
        </is>
      </c>
    </row>
    <row r="105">
      <c r="A105" t="inlineStr">
        <is>
          <t>S002-상추</t>
        </is>
      </c>
      <c r="B105" t="inlineStr">
        <is>
          <t>부산 해운대 농장</t>
        </is>
      </c>
      <c r="C105" t="inlineStr">
        <is>
          <t>상추</t>
        </is>
      </c>
      <c r="D105" t="inlineStr">
        <is>
          <t>4. 조명·냉난방</t>
        </is>
      </c>
      <c r="E105" t="inlineStr">
        <is>
          <t>필요 조명전력</t>
        </is>
      </c>
      <c r="F105" s="8" t="n">
        <v>11314.28571428572</v>
      </c>
      <c r="G105" t="inlineStr">
        <is>
          <t>W</t>
        </is>
      </c>
    </row>
    <row r="106">
      <c r="A106" t="inlineStr">
        <is>
          <t>S002-상추</t>
        </is>
      </c>
      <c r="B106" t="inlineStr">
        <is>
          <t>부산 해운대 농장</t>
        </is>
      </c>
      <c r="C106" t="inlineStr">
        <is>
          <t>상추</t>
        </is>
      </c>
      <c r="D106" t="inlineStr">
        <is>
          <t>4. 조명·냉난방</t>
        </is>
      </c>
      <c r="E106" t="inlineStr">
        <is>
          <t>월 조명전력량</t>
        </is>
      </c>
      <c r="F106" s="8" t="n">
        <v>5162.142857142857</v>
      </c>
      <c r="G106" t="inlineStr">
        <is>
          <t>kWh</t>
        </is>
      </c>
    </row>
    <row r="107">
      <c r="A107" t="inlineStr">
        <is>
          <t>S002-상추</t>
        </is>
      </c>
      <c r="B107" t="inlineStr">
        <is>
          <t>부산 해운대 농장</t>
        </is>
      </c>
      <c r="C107" t="inlineStr">
        <is>
          <t>상추</t>
        </is>
      </c>
      <c r="D107" t="inlineStr">
        <is>
          <t>5. 습도</t>
        </is>
      </c>
      <c r="E107" t="inlineStr">
        <is>
          <t>월 증발산량</t>
        </is>
      </c>
      <c r="F107" s="8" t="n">
        <v>15417.6</v>
      </c>
      <c r="G107" t="inlineStr">
        <is>
          <t>kg</t>
        </is>
      </c>
    </row>
    <row r="108">
      <c r="A108" t="inlineStr">
        <is>
          <t>S002-상추</t>
        </is>
      </c>
      <c r="B108" t="inlineStr">
        <is>
          <t>부산 해운대 농장</t>
        </is>
      </c>
      <c r="C108" t="inlineStr">
        <is>
          <t>상추</t>
        </is>
      </c>
      <c r="D108" t="inlineStr">
        <is>
          <t>6. 전기비</t>
        </is>
      </c>
      <c r="E108" t="inlineStr">
        <is>
          <t>월평균 총 전력량</t>
        </is>
      </c>
      <c r="F108" s="8" t="n">
        <v>13299.2498568393</v>
      </c>
      <c r="G108" t="inlineStr">
        <is>
          <t>kWh</t>
        </is>
      </c>
    </row>
    <row r="109">
      <c r="A109" t="inlineStr">
        <is>
          <t>S002-상추</t>
        </is>
      </c>
      <c r="B109" t="inlineStr">
        <is>
          <t>부산 해운대 농장</t>
        </is>
      </c>
      <c r="C109" t="inlineStr">
        <is>
          <t>상추</t>
        </is>
      </c>
      <c r="D109" t="inlineStr">
        <is>
          <t>6. 전기비</t>
        </is>
      </c>
      <c r="E109" t="inlineStr">
        <is>
          <t>월 전기비</t>
        </is>
      </c>
      <c r="F109" s="9" t="n">
        <v>2061383.727810092</v>
      </c>
      <c r="G109" t="inlineStr">
        <is>
          <t>원</t>
        </is>
      </c>
    </row>
    <row r="110">
      <c r="A110" t="inlineStr">
        <is>
          <t>S002-상추</t>
        </is>
      </c>
      <c r="B110" t="inlineStr">
        <is>
          <t>부산 해운대 농장</t>
        </is>
      </c>
      <c r="C110" t="inlineStr">
        <is>
          <t>상추</t>
        </is>
      </c>
      <c r="D110" t="inlineStr">
        <is>
          <t>7. 수도비</t>
        </is>
      </c>
      <c r="E110" t="inlineStr">
        <is>
          <t>배액률</t>
        </is>
      </c>
      <c r="F110" s="10" t="n">
        <v>0.3</v>
      </c>
      <c r="G110" t="inlineStr">
        <is>
          <t>%</t>
        </is>
      </c>
    </row>
    <row r="111">
      <c r="A111" t="inlineStr">
        <is>
          <t>S002-상추</t>
        </is>
      </c>
      <c r="B111" t="inlineStr">
        <is>
          <t>부산 해운대 농장</t>
        </is>
      </c>
      <c r="C111" t="inlineStr">
        <is>
          <t>상추</t>
        </is>
      </c>
      <c r="D111" t="inlineStr">
        <is>
          <t>7. 수도비</t>
        </is>
      </c>
      <c r="E111" t="inlineStr">
        <is>
          <t>월 작물 순소비량</t>
        </is>
      </c>
      <c r="F111" s="8" t="n">
        <v>15.4176</v>
      </c>
      <c r="G111" t="inlineStr">
        <is>
          <t>m³</t>
        </is>
      </c>
    </row>
    <row r="112">
      <c r="A112" t="inlineStr">
        <is>
          <t>S002-상추</t>
        </is>
      </c>
      <c r="B112" t="inlineStr">
        <is>
          <t>부산 해운대 농장</t>
        </is>
      </c>
      <c r="C112" t="inlineStr">
        <is>
          <t>상추</t>
        </is>
      </c>
      <c r="D112" t="inlineStr">
        <is>
          <t>7. 수도비</t>
        </is>
      </c>
      <c r="E112" t="inlineStr">
        <is>
          <t>월 배액량</t>
        </is>
      </c>
      <c r="F112" s="8" t="n">
        <v>6.60754285714286</v>
      </c>
      <c r="G112" t="inlineStr">
        <is>
          <t>m³</t>
        </is>
      </c>
    </row>
    <row r="113">
      <c r="A113" t="inlineStr">
        <is>
          <t>S002-상추</t>
        </is>
      </c>
      <c r="B113" t="inlineStr">
        <is>
          <t>부산 해운대 농장</t>
        </is>
      </c>
      <c r="C113" t="inlineStr">
        <is>
          <t>상추</t>
        </is>
      </c>
      <c r="D113" t="inlineStr">
        <is>
          <t>7. 수도비</t>
        </is>
      </c>
      <c r="E113" t="inlineStr">
        <is>
          <t>월 작물 관수량</t>
        </is>
      </c>
      <c r="F113" s="8" t="n">
        <v>22.02514285714286</v>
      </c>
      <c r="G113" t="inlineStr">
        <is>
          <t>m³</t>
        </is>
      </c>
    </row>
    <row r="114">
      <c r="A114" t="inlineStr">
        <is>
          <t>S002-상추</t>
        </is>
      </c>
      <c r="B114" t="inlineStr">
        <is>
          <t>부산 해운대 농장</t>
        </is>
      </c>
      <c r="C114" t="inlineStr">
        <is>
          <t>상추</t>
        </is>
      </c>
      <c r="D114" t="inlineStr">
        <is>
          <t>7. 수도비</t>
        </is>
      </c>
      <c r="E114" t="inlineStr">
        <is>
          <t>월 기타 용수량</t>
        </is>
      </c>
      <c r="F114" s="8" t="n">
        <v>0.4015000000000001</v>
      </c>
      <c r="G114" t="inlineStr">
        <is>
          <t>m³</t>
        </is>
      </c>
    </row>
    <row r="115">
      <c r="A115" t="inlineStr">
        <is>
          <t>S002-상추</t>
        </is>
      </c>
      <c r="B115" t="inlineStr">
        <is>
          <t>부산 해운대 농장</t>
        </is>
      </c>
      <c r="C115" t="inlineStr">
        <is>
          <t>상추</t>
        </is>
      </c>
      <c r="D115" t="inlineStr">
        <is>
          <t>7. 수도비</t>
        </is>
      </c>
      <c r="E115" t="inlineStr">
        <is>
          <t>월 총 용수량</t>
        </is>
      </c>
      <c r="F115" s="8" t="n">
        <v>22.42664285714286</v>
      </c>
      <c r="G115" t="inlineStr">
        <is>
          <t>m³</t>
        </is>
      </c>
    </row>
    <row r="116">
      <c r="A116" t="inlineStr">
        <is>
          <t>S002-상추</t>
        </is>
      </c>
      <c r="B116" t="inlineStr">
        <is>
          <t>부산 해운대 농장</t>
        </is>
      </c>
      <c r="C116" t="inlineStr">
        <is>
          <t>상추</t>
        </is>
      </c>
      <c r="D116" t="inlineStr">
        <is>
          <t>7. 수도비</t>
        </is>
      </c>
      <c r="E116" t="inlineStr">
        <is>
          <t>월 수도비</t>
        </is>
      </c>
      <c r="F116" s="9" t="n">
        <v>51581.27857142859</v>
      </c>
      <c r="G116" t="inlineStr">
        <is>
          <t>원</t>
        </is>
      </c>
    </row>
    <row r="117">
      <c r="A117" t="inlineStr">
        <is>
          <t>S002-상추</t>
        </is>
      </c>
      <c r="B117" t="inlineStr">
        <is>
          <t>부산 해운대 농장</t>
        </is>
      </c>
      <c r="C117" t="inlineStr">
        <is>
          <t>상추</t>
        </is>
      </c>
      <c r="D117" t="inlineStr">
        <is>
          <t>8. 재료비</t>
        </is>
      </c>
      <c r="E117" t="inlineStr">
        <is>
          <t>월 모종비</t>
        </is>
      </c>
      <c r="F117" s="9" t="n">
        <v>1188000</v>
      </c>
      <c r="G117" t="inlineStr">
        <is>
          <t>원</t>
        </is>
      </c>
    </row>
    <row r="118">
      <c r="A118" t="inlineStr">
        <is>
          <t>S002-상추</t>
        </is>
      </c>
      <c r="B118" t="inlineStr">
        <is>
          <t>부산 해운대 농장</t>
        </is>
      </c>
      <c r="C118" t="inlineStr">
        <is>
          <t>상추</t>
        </is>
      </c>
      <c r="D118" t="inlineStr">
        <is>
          <t>8. 재료비</t>
        </is>
      </c>
      <c r="E118" t="inlineStr">
        <is>
          <t>월 기타 재료비</t>
        </is>
      </c>
      <c r="F118" s="9" t="n">
        <v>300000</v>
      </c>
      <c r="G118" t="inlineStr">
        <is>
          <t>원</t>
        </is>
      </c>
    </row>
    <row r="119">
      <c r="A119" t="inlineStr">
        <is>
          <t>S002-상추</t>
        </is>
      </c>
      <c r="B119" t="inlineStr">
        <is>
          <t>부산 해운대 농장</t>
        </is>
      </c>
      <c r="C119" t="inlineStr">
        <is>
          <t>상추</t>
        </is>
      </c>
      <c r="D119" t="inlineStr">
        <is>
          <t>8. 재료비</t>
        </is>
      </c>
      <c r="E119" t="inlineStr">
        <is>
          <t>월 재료비</t>
        </is>
      </c>
      <c r="F119" s="9" t="n">
        <v>1488000</v>
      </c>
      <c r="G119" t="inlineStr">
        <is>
          <t>원</t>
        </is>
      </c>
    </row>
    <row r="120">
      <c r="A120" t="inlineStr">
        <is>
          <t>S002-상추</t>
        </is>
      </c>
      <c r="B120" t="inlineStr">
        <is>
          <t>부산 해운대 농장</t>
        </is>
      </c>
      <c r="C120" t="inlineStr">
        <is>
          <t>상추</t>
        </is>
      </c>
      <c r="D120" t="inlineStr">
        <is>
          <t>9. 인건비</t>
        </is>
      </c>
      <c r="E120" t="inlineStr">
        <is>
          <t>월 노동시간</t>
        </is>
      </c>
      <c r="F120" s="8" t="n">
        <v>237.6</v>
      </c>
      <c r="G120" t="inlineStr">
        <is>
          <t>시간</t>
        </is>
      </c>
    </row>
    <row r="121">
      <c r="A121" t="inlineStr">
        <is>
          <t>S002-상추</t>
        </is>
      </c>
      <c r="B121" t="inlineStr">
        <is>
          <t>부산 해운대 농장</t>
        </is>
      </c>
      <c r="C121" t="inlineStr">
        <is>
          <t>상추</t>
        </is>
      </c>
      <c r="D121" t="inlineStr">
        <is>
          <t>9. 인건비</t>
        </is>
      </c>
      <c r="E121" t="inlineStr">
        <is>
          <t>월 인건비</t>
        </is>
      </c>
      <c r="F121" s="9" t="n">
        <v>2452032</v>
      </c>
      <c r="G121" t="inlineStr">
        <is>
          <t>원</t>
        </is>
      </c>
    </row>
    <row r="122">
      <c r="A122" t="inlineStr">
        <is>
          <t>S002-상추</t>
        </is>
      </c>
      <c r="B122" t="inlineStr">
        <is>
          <t>부산 해운대 농장</t>
        </is>
      </c>
      <c r="C122" t="inlineStr">
        <is>
          <t>상추</t>
        </is>
      </c>
      <c r="D122" t="inlineStr">
        <is>
          <t>10. 수익</t>
        </is>
      </c>
      <c r="E122" t="inlineStr">
        <is>
          <t>월 운영비</t>
        </is>
      </c>
      <c r="F122" s="9" t="n">
        <v>6152997.006381521</v>
      </c>
      <c r="G122" t="inlineStr">
        <is>
          <t>원</t>
        </is>
      </c>
    </row>
    <row r="123">
      <c r="A123" t="inlineStr">
        <is>
          <t>S002-상추</t>
        </is>
      </c>
      <c r="B123" t="inlineStr">
        <is>
          <t>부산 해운대 농장</t>
        </is>
      </c>
      <c r="C123" t="inlineStr">
        <is>
          <t>상추</t>
        </is>
      </c>
      <c r="D123" t="inlineStr">
        <is>
          <t>10. 수익</t>
        </is>
      </c>
      <c r="E123" t="inlineStr">
        <is>
          <t>월 영업이익</t>
        </is>
      </c>
      <c r="F123" s="9" t="n">
        <v>-2731557.006381521</v>
      </c>
      <c r="G123" t="inlineStr">
        <is>
          <t>원</t>
        </is>
      </c>
    </row>
    <row r="124">
      <c r="A124" t="inlineStr">
        <is>
          <t>S002-상추</t>
        </is>
      </c>
      <c r="B124" t="inlineStr">
        <is>
          <t>부산 해운대 농장</t>
        </is>
      </c>
      <c r="C124" t="inlineStr">
        <is>
          <t>상추</t>
        </is>
      </c>
      <c r="D124" t="inlineStr">
        <is>
          <t>10. 수익</t>
        </is>
      </c>
      <c r="E124" t="inlineStr">
        <is>
          <t>공간 대여자 예상수익</t>
        </is>
      </c>
      <c r="F124" s="9" t="n">
        <v>-2185245.605105217</v>
      </c>
      <c r="G124" t="inlineStr">
        <is>
          <t>원</t>
        </is>
      </c>
    </row>
    <row r="125">
      <c r="A125" t="inlineStr">
        <is>
          <t>S002-상추</t>
        </is>
      </c>
      <c r="B125" t="inlineStr">
        <is>
          <t>부산 해운대 농장</t>
        </is>
      </c>
      <c r="C125" t="inlineStr">
        <is>
          <t>상추</t>
        </is>
      </c>
      <c r="D125" t="inlineStr">
        <is>
          <t>10. 수익</t>
        </is>
      </c>
      <c r="E125" t="inlineStr">
        <is>
          <t>원하는 월세</t>
        </is>
      </c>
      <c r="F125" s="9" t="n">
        <v>800000</v>
      </c>
      <c r="G125" t="inlineStr">
        <is>
          <t>원</t>
        </is>
      </c>
    </row>
    <row r="126">
      <c r="A126" t="inlineStr">
        <is>
          <t>S002-상추</t>
        </is>
      </c>
      <c r="B126" t="inlineStr">
        <is>
          <t>부산 해운대 농장</t>
        </is>
      </c>
      <c r="C126" t="inlineStr">
        <is>
          <t>상추</t>
        </is>
      </c>
      <c r="D126" t="inlineStr">
        <is>
          <t>10. 수익</t>
        </is>
      </c>
      <c r="E126" t="inlineStr">
        <is>
          <t>공실 월세 대비 차이</t>
        </is>
      </c>
      <c r="F126" s="9" t="n">
        <v>-2985245.605105217</v>
      </c>
      <c r="G126" t="inlineStr">
        <is>
          <t>원</t>
        </is>
      </c>
    </row>
    <row r="127">
      <c r="A127" t="inlineStr">
        <is>
          <t>S002-상추</t>
        </is>
      </c>
      <c r="B127" t="inlineStr">
        <is>
          <t>부산 해운대 농장</t>
        </is>
      </c>
      <c r="C127" t="inlineStr">
        <is>
          <t>상추</t>
        </is>
      </c>
      <c r="D127" t="inlineStr">
        <is>
          <t>10. 수익</t>
        </is>
      </c>
      <c r="E127" t="inlineStr">
        <is>
          <t>사업장 영업이익</t>
        </is>
      </c>
      <c r="F127" s="9" t="n">
        <v>-546311.4012763039</v>
      </c>
      <c r="G127" t="inlineStr">
        <is>
          <t>원</t>
        </is>
      </c>
    </row>
    <row r="128">
      <c r="A128" t="inlineStr">
        <is>
          <t>S002-딸기</t>
        </is>
      </c>
      <c r="B128" t="inlineStr">
        <is>
          <t>부산 해운대 농장</t>
        </is>
      </c>
      <c r="C128" t="inlineStr">
        <is>
          <t>딸기</t>
        </is>
      </c>
      <c r="D128" t="inlineStr">
        <is>
          <t>1. 공간</t>
        </is>
      </c>
      <c r="E128" t="inlineStr">
        <is>
          <t>공실 전체면적</t>
        </is>
      </c>
      <c r="F128" s="8" t="n">
        <v>66</v>
      </c>
      <c r="G128" t="inlineStr">
        <is>
          <t>m²</t>
        </is>
      </c>
    </row>
    <row r="129">
      <c r="A129" t="inlineStr">
        <is>
          <t>S002-딸기</t>
        </is>
      </c>
      <c r="B129" t="inlineStr">
        <is>
          <t>부산 해운대 농장</t>
        </is>
      </c>
      <c r="C129" t="inlineStr">
        <is>
          <t>딸기</t>
        </is>
      </c>
      <c r="D129" t="inlineStr">
        <is>
          <t>1. 공간</t>
        </is>
      </c>
      <c r="E129" t="inlineStr">
        <is>
          <t>사용가능 바닥면적</t>
        </is>
      </c>
      <c r="F129" s="8" t="n">
        <v>39.6</v>
      </c>
      <c r="G129" t="inlineStr">
        <is>
          <t>m²</t>
        </is>
      </c>
    </row>
    <row r="130">
      <c r="A130" t="inlineStr">
        <is>
          <t>S002-딸기</t>
        </is>
      </c>
      <c r="B130" t="inlineStr">
        <is>
          <t>부산 해운대 농장</t>
        </is>
      </c>
      <c r="C130" t="inlineStr">
        <is>
          <t>딸기</t>
        </is>
      </c>
      <c r="D130" t="inlineStr">
        <is>
          <t>1. 공간</t>
        </is>
      </c>
      <c r="E130" t="inlineStr">
        <is>
          <t>재배면적</t>
        </is>
      </c>
      <c r="F130" s="8" t="n">
        <v>158.4</v>
      </c>
      <c r="G130" t="inlineStr">
        <is>
          <t>m²</t>
        </is>
      </c>
    </row>
    <row r="131">
      <c r="A131" t="inlineStr">
        <is>
          <t>S002-딸기</t>
        </is>
      </c>
      <c r="B131" t="inlineStr">
        <is>
          <t>부산 해운대 농장</t>
        </is>
      </c>
      <c r="C131" t="inlineStr">
        <is>
          <t>딸기</t>
        </is>
      </c>
      <c r="D131" t="inlineStr">
        <is>
          <t>1. 공간</t>
        </is>
      </c>
      <c r="E131" t="inlineStr">
        <is>
          <t>공간 체적</t>
        </is>
      </c>
      <c r="F131" s="8" t="n">
        <v>165</v>
      </c>
      <c r="G131" t="inlineStr">
        <is>
          <t>m³</t>
        </is>
      </c>
    </row>
    <row r="132">
      <c r="A132" t="inlineStr">
        <is>
          <t>S002-딸기</t>
        </is>
      </c>
      <c r="B132" t="inlineStr">
        <is>
          <t>부산 해운대 농장</t>
        </is>
      </c>
      <c r="C132" t="inlineStr">
        <is>
          <t>딸기</t>
        </is>
      </c>
      <c r="D132" t="inlineStr">
        <is>
          <t>2. 생산</t>
        </is>
      </c>
      <c r="E132" t="inlineStr">
        <is>
          <t>월 총생산량</t>
        </is>
      </c>
      <c r="F132" s="8" t="n">
        <v>245.52</v>
      </c>
      <c r="G132" t="inlineStr">
        <is>
          <t>kg</t>
        </is>
      </c>
    </row>
    <row r="133">
      <c r="A133" t="inlineStr">
        <is>
          <t>S002-딸기</t>
        </is>
      </c>
      <c r="B133" t="inlineStr">
        <is>
          <t>부산 해운대 농장</t>
        </is>
      </c>
      <c r="C133" t="inlineStr">
        <is>
          <t>딸기</t>
        </is>
      </c>
      <c r="D133" t="inlineStr">
        <is>
          <t>2. 생산</t>
        </is>
      </c>
      <c r="E133" t="inlineStr">
        <is>
          <t>월 판매량</t>
        </is>
      </c>
      <c r="F133" s="8" t="n">
        <v>220.968</v>
      </c>
      <c r="G133" t="inlineStr">
        <is>
          <t>kg</t>
        </is>
      </c>
    </row>
    <row r="134">
      <c r="A134" t="inlineStr">
        <is>
          <t>S002-딸기</t>
        </is>
      </c>
      <c r="B134" t="inlineStr">
        <is>
          <t>부산 해운대 농장</t>
        </is>
      </c>
      <c r="C134" t="inlineStr">
        <is>
          <t>딸기</t>
        </is>
      </c>
      <c r="D134" t="inlineStr">
        <is>
          <t>3. 매출</t>
        </is>
      </c>
      <c r="E134" t="inlineStr">
        <is>
          <t>판매가격</t>
        </is>
      </c>
      <c r="F134" s="9" t="n">
        <v>30000</v>
      </c>
      <c r="G134" t="inlineStr">
        <is>
          <t>원/kg</t>
        </is>
      </c>
    </row>
    <row r="135">
      <c r="A135" t="inlineStr">
        <is>
          <t>S002-딸기</t>
        </is>
      </c>
      <c r="B135" t="inlineStr">
        <is>
          <t>부산 해운대 농장</t>
        </is>
      </c>
      <c r="C135" t="inlineStr">
        <is>
          <t>딸기</t>
        </is>
      </c>
      <c r="D135" t="inlineStr">
        <is>
          <t>3. 매출</t>
        </is>
      </c>
      <c r="E135" t="inlineStr">
        <is>
          <t>월 매출</t>
        </is>
      </c>
      <c r="F135" s="9" t="n">
        <v>6629040.000000001</v>
      </c>
      <c r="G135" t="inlineStr">
        <is>
          <t>원</t>
        </is>
      </c>
    </row>
    <row r="136">
      <c r="A136" t="inlineStr">
        <is>
          <t>S002-딸기</t>
        </is>
      </c>
      <c r="B136" t="inlineStr">
        <is>
          <t>부산 해운대 농장</t>
        </is>
      </c>
      <c r="C136" t="inlineStr">
        <is>
          <t>딸기</t>
        </is>
      </c>
      <c r="D136" t="inlineStr">
        <is>
          <t>4. 조명·냉난방</t>
        </is>
      </c>
      <c r="E136" t="inlineStr">
        <is>
          <t>필요 조명전력</t>
        </is>
      </c>
      <c r="F136" s="8" t="n">
        <v>14142.85714285714</v>
      </c>
      <c r="G136" t="inlineStr">
        <is>
          <t>W</t>
        </is>
      </c>
    </row>
    <row r="137">
      <c r="A137" t="inlineStr">
        <is>
          <t>S002-딸기</t>
        </is>
      </c>
      <c r="B137" t="inlineStr">
        <is>
          <t>부산 해운대 농장</t>
        </is>
      </c>
      <c r="C137" t="inlineStr">
        <is>
          <t>딸기</t>
        </is>
      </c>
      <c r="D137" t="inlineStr">
        <is>
          <t>4. 조명·냉난방</t>
        </is>
      </c>
      <c r="E137" t="inlineStr">
        <is>
          <t>월 조명전력량</t>
        </is>
      </c>
      <c r="F137" s="8" t="n">
        <v>6882.857142857144</v>
      </c>
      <c r="G137" t="inlineStr">
        <is>
          <t>kWh</t>
        </is>
      </c>
    </row>
    <row r="138">
      <c r="A138" t="inlineStr">
        <is>
          <t>S002-딸기</t>
        </is>
      </c>
      <c r="B138" t="inlineStr">
        <is>
          <t>부산 해운대 농장</t>
        </is>
      </c>
      <c r="C138" t="inlineStr">
        <is>
          <t>딸기</t>
        </is>
      </c>
      <c r="D138" t="inlineStr">
        <is>
          <t>5. 습도</t>
        </is>
      </c>
      <c r="E138" t="inlineStr">
        <is>
          <t>월 증발산량</t>
        </is>
      </c>
      <c r="F138" s="8" t="n">
        <v>4336.2</v>
      </c>
      <c r="G138" t="inlineStr">
        <is>
          <t>kg</t>
        </is>
      </c>
    </row>
    <row r="139">
      <c r="A139" t="inlineStr">
        <is>
          <t>S002-딸기</t>
        </is>
      </c>
      <c r="B139" t="inlineStr">
        <is>
          <t>부산 해운대 농장</t>
        </is>
      </c>
      <c r="C139" t="inlineStr">
        <is>
          <t>딸기</t>
        </is>
      </c>
      <c r="D139" t="inlineStr">
        <is>
          <t>6. 전기비</t>
        </is>
      </c>
      <c r="E139" t="inlineStr">
        <is>
          <t>월평균 총 전력량</t>
        </is>
      </c>
      <c r="F139" s="8" t="n">
        <v>9619.666647268185</v>
      </c>
      <c r="G139" t="inlineStr">
        <is>
          <t>kWh</t>
        </is>
      </c>
    </row>
    <row r="140">
      <c r="A140" t="inlineStr">
        <is>
          <t>S002-딸기</t>
        </is>
      </c>
      <c r="B140" t="inlineStr">
        <is>
          <t>부산 해운대 농장</t>
        </is>
      </c>
      <c r="C140" t="inlineStr">
        <is>
          <t>딸기</t>
        </is>
      </c>
      <c r="D140" t="inlineStr">
        <is>
          <t>6. 전기비</t>
        </is>
      </c>
      <c r="E140" t="inlineStr">
        <is>
          <t>월 전기비</t>
        </is>
      </c>
      <c r="F140" s="9" t="n">
        <v>1491048.330326569</v>
      </c>
      <c r="G140" t="inlineStr">
        <is>
          <t>원</t>
        </is>
      </c>
    </row>
    <row r="141">
      <c r="A141" t="inlineStr">
        <is>
          <t>S002-딸기</t>
        </is>
      </c>
      <c r="B141" t="inlineStr">
        <is>
          <t>부산 해운대 농장</t>
        </is>
      </c>
      <c r="C141" t="inlineStr">
        <is>
          <t>딸기</t>
        </is>
      </c>
      <c r="D141" t="inlineStr">
        <is>
          <t>7. 수도비</t>
        </is>
      </c>
      <c r="E141" t="inlineStr">
        <is>
          <t>배액률</t>
        </is>
      </c>
      <c r="F141" s="10" t="n">
        <v>0.3</v>
      </c>
      <c r="G141" t="inlineStr">
        <is>
          <t>%</t>
        </is>
      </c>
    </row>
    <row r="142">
      <c r="A142" t="inlineStr">
        <is>
          <t>S002-딸기</t>
        </is>
      </c>
      <c r="B142" t="inlineStr">
        <is>
          <t>부산 해운대 농장</t>
        </is>
      </c>
      <c r="C142" t="inlineStr">
        <is>
          <t>딸기</t>
        </is>
      </c>
      <c r="D142" t="inlineStr">
        <is>
          <t>7. 수도비</t>
        </is>
      </c>
      <c r="E142" t="inlineStr">
        <is>
          <t>월 작물 순소비량</t>
        </is>
      </c>
      <c r="F142" s="8" t="n">
        <v>4.3362</v>
      </c>
      <c r="G142" t="inlineStr">
        <is>
          <t>m³</t>
        </is>
      </c>
    </row>
    <row r="143">
      <c r="A143" t="inlineStr">
        <is>
          <t>S002-딸기</t>
        </is>
      </c>
      <c r="B143" t="inlineStr">
        <is>
          <t>부산 해운대 농장</t>
        </is>
      </c>
      <c r="C143" t="inlineStr">
        <is>
          <t>딸기</t>
        </is>
      </c>
      <c r="D143" t="inlineStr">
        <is>
          <t>7. 수도비</t>
        </is>
      </c>
      <c r="E143" t="inlineStr">
        <is>
          <t>월 배액량</t>
        </is>
      </c>
      <c r="F143" s="8" t="n">
        <v>1.858371428571429</v>
      </c>
      <c r="G143" t="inlineStr">
        <is>
          <t>m³</t>
        </is>
      </c>
    </row>
    <row r="144">
      <c r="A144" t="inlineStr">
        <is>
          <t>S002-딸기</t>
        </is>
      </c>
      <c r="B144" t="inlineStr">
        <is>
          <t>부산 해운대 농장</t>
        </is>
      </c>
      <c r="C144" t="inlineStr">
        <is>
          <t>딸기</t>
        </is>
      </c>
      <c r="D144" t="inlineStr">
        <is>
          <t>7. 수도비</t>
        </is>
      </c>
      <c r="E144" t="inlineStr">
        <is>
          <t>월 작물 관수량</t>
        </is>
      </c>
      <c r="F144" s="8" t="n">
        <v>6.194571428571429</v>
      </c>
      <c r="G144" t="inlineStr">
        <is>
          <t>m³</t>
        </is>
      </c>
    </row>
    <row r="145">
      <c r="A145" t="inlineStr">
        <is>
          <t>S002-딸기</t>
        </is>
      </c>
      <c r="B145" t="inlineStr">
        <is>
          <t>부산 해운대 농장</t>
        </is>
      </c>
      <c r="C145" t="inlineStr">
        <is>
          <t>딸기</t>
        </is>
      </c>
      <c r="D145" t="inlineStr">
        <is>
          <t>7. 수도비</t>
        </is>
      </c>
      <c r="E145" t="inlineStr">
        <is>
          <t>월 기타 용수량</t>
        </is>
      </c>
      <c r="F145" s="8" t="n">
        <v>0.4015000000000001</v>
      </c>
      <c r="G145" t="inlineStr">
        <is>
          <t>m³</t>
        </is>
      </c>
    </row>
    <row r="146">
      <c r="A146" t="inlineStr">
        <is>
          <t>S002-딸기</t>
        </is>
      </c>
      <c r="B146" t="inlineStr">
        <is>
          <t>부산 해운대 농장</t>
        </is>
      </c>
      <c r="C146" t="inlineStr">
        <is>
          <t>딸기</t>
        </is>
      </c>
      <c r="D146" t="inlineStr">
        <is>
          <t>7. 수도비</t>
        </is>
      </c>
      <c r="E146" t="inlineStr">
        <is>
          <t>월 총 용수량</t>
        </is>
      </c>
      <c r="F146" s="8" t="n">
        <v>6.596071428571428</v>
      </c>
      <c r="G146" t="inlineStr">
        <is>
          <t>m³</t>
        </is>
      </c>
    </row>
    <row r="147">
      <c r="A147" t="inlineStr">
        <is>
          <t>S002-딸기</t>
        </is>
      </c>
      <c r="B147" t="inlineStr">
        <is>
          <t>부산 해운대 농장</t>
        </is>
      </c>
      <c r="C147" t="inlineStr">
        <is>
          <t>딸기</t>
        </is>
      </c>
      <c r="D147" t="inlineStr">
        <is>
          <t>7. 수도비</t>
        </is>
      </c>
      <c r="E147" t="inlineStr">
        <is>
          <t>월 수도비</t>
        </is>
      </c>
      <c r="F147" s="9" t="n">
        <v>15170.96428571428</v>
      </c>
      <c r="G147" t="inlineStr">
        <is>
          <t>원</t>
        </is>
      </c>
    </row>
    <row r="148">
      <c r="A148" t="inlineStr">
        <is>
          <t>S002-딸기</t>
        </is>
      </c>
      <c r="B148" t="inlineStr">
        <is>
          <t>부산 해운대 농장</t>
        </is>
      </c>
      <c r="C148" t="inlineStr">
        <is>
          <t>딸기</t>
        </is>
      </c>
      <c r="D148" t="inlineStr">
        <is>
          <t>8. 재료비</t>
        </is>
      </c>
      <c r="E148" t="inlineStr">
        <is>
          <t>월 모종비</t>
        </is>
      </c>
      <c r="F148" s="9" t="n">
        <v>891000</v>
      </c>
      <c r="G148" t="inlineStr">
        <is>
          <t>원</t>
        </is>
      </c>
    </row>
    <row r="149">
      <c r="A149" t="inlineStr">
        <is>
          <t>S002-딸기</t>
        </is>
      </c>
      <c r="B149" t="inlineStr">
        <is>
          <t>부산 해운대 농장</t>
        </is>
      </c>
      <c r="C149" t="inlineStr">
        <is>
          <t>딸기</t>
        </is>
      </c>
      <c r="D149" t="inlineStr">
        <is>
          <t>8. 재료비</t>
        </is>
      </c>
      <c r="E149" t="inlineStr">
        <is>
          <t>월 기타 재료비</t>
        </is>
      </c>
      <c r="F149" s="9" t="n">
        <v>300000</v>
      </c>
      <c r="G149" t="inlineStr">
        <is>
          <t>원</t>
        </is>
      </c>
    </row>
    <row r="150">
      <c r="A150" t="inlineStr">
        <is>
          <t>S002-딸기</t>
        </is>
      </c>
      <c r="B150" t="inlineStr">
        <is>
          <t>부산 해운대 농장</t>
        </is>
      </c>
      <c r="C150" t="inlineStr">
        <is>
          <t>딸기</t>
        </is>
      </c>
      <c r="D150" t="inlineStr">
        <is>
          <t>8. 재료비</t>
        </is>
      </c>
      <c r="E150" t="inlineStr">
        <is>
          <t>월 재료비</t>
        </is>
      </c>
      <c r="F150" s="9" t="n">
        <v>1191000</v>
      </c>
      <c r="G150" t="inlineStr">
        <is>
          <t>원</t>
        </is>
      </c>
    </row>
    <row r="151">
      <c r="A151" t="inlineStr">
        <is>
          <t>S002-딸기</t>
        </is>
      </c>
      <c r="B151" t="inlineStr">
        <is>
          <t>부산 해운대 농장</t>
        </is>
      </c>
      <c r="C151" t="inlineStr">
        <is>
          <t>딸기</t>
        </is>
      </c>
      <c r="D151" t="inlineStr">
        <is>
          <t>9. 인건비</t>
        </is>
      </c>
      <c r="E151" t="inlineStr">
        <is>
          <t>월 노동시간</t>
        </is>
      </c>
      <c r="F151" s="8" t="n">
        <v>122.76</v>
      </c>
      <c r="G151" t="inlineStr">
        <is>
          <t>시간</t>
        </is>
      </c>
    </row>
    <row r="152">
      <c r="A152" t="inlineStr">
        <is>
          <t>S002-딸기</t>
        </is>
      </c>
      <c r="B152" t="inlineStr">
        <is>
          <t>부산 해운대 농장</t>
        </is>
      </c>
      <c r="C152" t="inlineStr">
        <is>
          <t>딸기</t>
        </is>
      </c>
      <c r="D152" t="inlineStr">
        <is>
          <t>9. 인건비</t>
        </is>
      </c>
      <c r="E152" t="inlineStr">
        <is>
          <t>월 인건비</t>
        </is>
      </c>
      <c r="F152" s="9" t="n">
        <v>1266883.2</v>
      </c>
      <c r="G152" t="inlineStr">
        <is>
          <t>원</t>
        </is>
      </c>
    </row>
    <row r="153">
      <c r="A153" t="inlineStr">
        <is>
          <t>S002-딸기</t>
        </is>
      </c>
      <c r="B153" t="inlineStr">
        <is>
          <t>부산 해운대 농장</t>
        </is>
      </c>
      <c r="C153" t="inlineStr">
        <is>
          <t>딸기</t>
        </is>
      </c>
      <c r="D153" t="inlineStr">
        <is>
          <t>10. 수익</t>
        </is>
      </c>
      <c r="E153" t="inlineStr">
        <is>
          <t>월 운영비</t>
        </is>
      </c>
      <c r="F153" s="9" t="n">
        <v>4064102.494612283</v>
      </c>
      <c r="G153" t="inlineStr">
        <is>
          <t>원</t>
        </is>
      </c>
    </row>
    <row r="154">
      <c r="A154" t="inlineStr">
        <is>
          <t>S002-딸기</t>
        </is>
      </c>
      <c r="B154" t="inlineStr">
        <is>
          <t>부산 해운대 농장</t>
        </is>
      </c>
      <c r="C154" t="inlineStr">
        <is>
          <t>딸기</t>
        </is>
      </c>
      <c r="D154" t="inlineStr">
        <is>
          <t>10. 수익</t>
        </is>
      </c>
      <c r="E154" t="inlineStr">
        <is>
          <t>월 영업이익</t>
        </is>
      </c>
      <c r="F154" s="9" t="n">
        <v>2564937.505387718</v>
      </c>
      <c r="G154" t="inlineStr">
        <is>
          <t>원</t>
        </is>
      </c>
    </row>
    <row r="155">
      <c r="A155" t="inlineStr">
        <is>
          <t>S002-딸기</t>
        </is>
      </c>
      <c r="B155" t="inlineStr">
        <is>
          <t>부산 해운대 농장</t>
        </is>
      </c>
      <c r="C155" t="inlineStr">
        <is>
          <t>딸기</t>
        </is>
      </c>
      <c r="D155" t="inlineStr">
        <is>
          <t>10. 수익</t>
        </is>
      </c>
      <c r="E155" t="inlineStr">
        <is>
          <t>공간 대여자 예상수익</t>
        </is>
      </c>
      <c r="F155" s="9" t="n">
        <v>2051950.004310174</v>
      </c>
      <c r="G155" t="inlineStr">
        <is>
          <t>원</t>
        </is>
      </c>
    </row>
    <row r="156">
      <c r="A156" t="inlineStr">
        <is>
          <t>S002-딸기</t>
        </is>
      </c>
      <c r="B156" t="inlineStr">
        <is>
          <t>부산 해운대 농장</t>
        </is>
      </c>
      <c r="C156" t="inlineStr">
        <is>
          <t>딸기</t>
        </is>
      </c>
      <c r="D156" t="inlineStr">
        <is>
          <t>10. 수익</t>
        </is>
      </c>
      <c r="E156" t="inlineStr">
        <is>
          <t>원하는 월세</t>
        </is>
      </c>
      <c r="F156" s="9" t="n">
        <v>800000</v>
      </c>
      <c r="G156" t="inlineStr">
        <is>
          <t>원</t>
        </is>
      </c>
    </row>
    <row r="157">
      <c r="A157" t="inlineStr">
        <is>
          <t>S002-딸기</t>
        </is>
      </c>
      <c r="B157" t="inlineStr">
        <is>
          <t>부산 해운대 농장</t>
        </is>
      </c>
      <c r="C157" t="inlineStr">
        <is>
          <t>딸기</t>
        </is>
      </c>
      <c r="D157" t="inlineStr">
        <is>
          <t>10. 수익</t>
        </is>
      </c>
      <c r="E157" t="inlineStr">
        <is>
          <t>공실 월세 대비 차이</t>
        </is>
      </c>
      <c r="F157" s="9" t="n">
        <v>1251950.004310174</v>
      </c>
      <c r="G157" t="inlineStr">
        <is>
          <t>원</t>
        </is>
      </c>
    </row>
    <row r="158">
      <c r="A158" t="inlineStr">
        <is>
          <t>S002-딸기</t>
        </is>
      </c>
      <c r="B158" t="inlineStr">
        <is>
          <t>부산 해운대 농장</t>
        </is>
      </c>
      <c r="C158" t="inlineStr">
        <is>
          <t>딸기</t>
        </is>
      </c>
      <c r="D158" t="inlineStr">
        <is>
          <t>10. 수익</t>
        </is>
      </c>
      <c r="E158" t="inlineStr">
        <is>
          <t>사업장 영업이익</t>
        </is>
      </c>
      <c r="F158" s="9" t="n">
        <v>512987.5010775435</v>
      </c>
      <c r="G158" t="inlineStr">
        <is>
          <t>원</t>
        </is>
      </c>
    </row>
    <row r="159">
      <c r="A159" t="inlineStr">
        <is>
          <t>S002-바질</t>
        </is>
      </c>
      <c r="B159" t="inlineStr">
        <is>
          <t>부산 해운대 농장</t>
        </is>
      </c>
      <c r="C159" t="inlineStr">
        <is>
          <t>바질</t>
        </is>
      </c>
      <c r="D159" t="inlineStr">
        <is>
          <t>1. 공간</t>
        </is>
      </c>
      <c r="E159" t="inlineStr">
        <is>
          <t>공실 전체면적</t>
        </is>
      </c>
      <c r="F159" s="8" t="n">
        <v>66</v>
      </c>
      <c r="G159" t="inlineStr">
        <is>
          <t>m²</t>
        </is>
      </c>
    </row>
    <row r="160">
      <c r="A160" t="inlineStr">
        <is>
          <t>S002-바질</t>
        </is>
      </c>
      <c r="B160" t="inlineStr">
        <is>
          <t>부산 해운대 농장</t>
        </is>
      </c>
      <c r="C160" t="inlineStr">
        <is>
          <t>바질</t>
        </is>
      </c>
      <c r="D160" t="inlineStr">
        <is>
          <t>1. 공간</t>
        </is>
      </c>
      <c r="E160" t="inlineStr">
        <is>
          <t>사용가능 바닥면적</t>
        </is>
      </c>
      <c r="F160" s="8" t="n">
        <v>39.6</v>
      </c>
      <c r="G160" t="inlineStr">
        <is>
          <t>m²</t>
        </is>
      </c>
    </row>
    <row r="161">
      <c r="A161" t="inlineStr">
        <is>
          <t>S002-바질</t>
        </is>
      </c>
      <c r="B161" t="inlineStr">
        <is>
          <t>부산 해운대 농장</t>
        </is>
      </c>
      <c r="C161" t="inlineStr">
        <is>
          <t>바질</t>
        </is>
      </c>
      <c r="D161" t="inlineStr">
        <is>
          <t>1. 공간</t>
        </is>
      </c>
      <c r="E161" t="inlineStr">
        <is>
          <t>재배면적</t>
        </is>
      </c>
      <c r="F161" s="8" t="n">
        <v>158.4</v>
      </c>
      <c r="G161" t="inlineStr">
        <is>
          <t>m²</t>
        </is>
      </c>
    </row>
    <row r="162">
      <c r="A162" t="inlineStr">
        <is>
          <t>S002-바질</t>
        </is>
      </c>
      <c r="B162" t="inlineStr">
        <is>
          <t>부산 해운대 농장</t>
        </is>
      </c>
      <c r="C162" t="inlineStr">
        <is>
          <t>바질</t>
        </is>
      </c>
      <c r="D162" t="inlineStr">
        <is>
          <t>1. 공간</t>
        </is>
      </c>
      <c r="E162" t="inlineStr">
        <is>
          <t>공간 체적</t>
        </is>
      </c>
      <c r="F162" s="8" t="n">
        <v>165</v>
      </c>
      <c r="G162" t="inlineStr">
        <is>
          <t>m³</t>
        </is>
      </c>
    </row>
    <row r="163">
      <c r="A163" t="inlineStr">
        <is>
          <t>S002-바질</t>
        </is>
      </c>
      <c r="B163" t="inlineStr">
        <is>
          <t>부산 해운대 농장</t>
        </is>
      </c>
      <c r="C163" t="inlineStr">
        <is>
          <t>바질</t>
        </is>
      </c>
      <c r="D163" t="inlineStr">
        <is>
          <t>2. 생산</t>
        </is>
      </c>
      <c r="E163" t="inlineStr">
        <is>
          <t>월 총생산량</t>
        </is>
      </c>
      <c r="F163" s="8" t="n">
        <v>380.1600000000001</v>
      </c>
      <c r="G163" t="inlineStr">
        <is>
          <t>kg</t>
        </is>
      </c>
    </row>
    <row r="164">
      <c r="A164" t="inlineStr">
        <is>
          <t>S002-바질</t>
        </is>
      </c>
      <c r="B164" t="inlineStr">
        <is>
          <t>부산 해운대 농장</t>
        </is>
      </c>
      <c r="C164" t="inlineStr">
        <is>
          <t>바질</t>
        </is>
      </c>
      <c r="D164" t="inlineStr">
        <is>
          <t>2. 생산</t>
        </is>
      </c>
      <c r="E164" t="inlineStr">
        <is>
          <t>월 판매량</t>
        </is>
      </c>
      <c r="F164" s="8" t="n">
        <v>342.1440000000001</v>
      </c>
      <c r="G164" t="inlineStr">
        <is>
          <t>kg</t>
        </is>
      </c>
    </row>
    <row r="165">
      <c r="A165" t="inlineStr">
        <is>
          <t>S002-바질</t>
        </is>
      </c>
      <c r="B165" t="inlineStr">
        <is>
          <t>부산 해운대 농장</t>
        </is>
      </c>
      <c r="C165" t="inlineStr">
        <is>
          <t>바질</t>
        </is>
      </c>
      <c r="D165" t="inlineStr">
        <is>
          <t>3. 매출</t>
        </is>
      </c>
      <c r="E165" t="inlineStr">
        <is>
          <t>판매가격</t>
        </is>
      </c>
      <c r="F165" s="9" t="n">
        <v>20000</v>
      </c>
      <c r="G165" t="inlineStr">
        <is>
          <t>원/kg</t>
        </is>
      </c>
    </row>
    <row r="166">
      <c r="A166" t="inlineStr">
        <is>
          <t>S002-바질</t>
        </is>
      </c>
      <c r="B166" t="inlineStr">
        <is>
          <t>부산 해운대 농장</t>
        </is>
      </c>
      <c r="C166" t="inlineStr">
        <is>
          <t>바질</t>
        </is>
      </c>
      <c r="D166" t="inlineStr">
        <is>
          <t>3. 매출</t>
        </is>
      </c>
      <c r="E166" t="inlineStr">
        <is>
          <t>월 매출</t>
        </is>
      </c>
      <c r="F166" s="9" t="n">
        <v>6842880.000000001</v>
      </c>
      <c r="G166" t="inlineStr">
        <is>
          <t>원</t>
        </is>
      </c>
    </row>
    <row r="167">
      <c r="A167" t="inlineStr">
        <is>
          <t>S002-바질</t>
        </is>
      </c>
      <c r="B167" t="inlineStr">
        <is>
          <t>부산 해운대 농장</t>
        </is>
      </c>
      <c r="C167" t="inlineStr">
        <is>
          <t>바질</t>
        </is>
      </c>
      <c r="D167" t="inlineStr">
        <is>
          <t>4. 조명·냉난방</t>
        </is>
      </c>
      <c r="E167" t="inlineStr">
        <is>
          <t>필요 조명전력</t>
        </is>
      </c>
      <c r="F167" s="8" t="n">
        <v>14142.85714285714</v>
      </c>
      <c r="G167" t="inlineStr">
        <is>
          <t>W</t>
        </is>
      </c>
    </row>
    <row r="168">
      <c r="A168" t="inlineStr">
        <is>
          <t>S002-바질</t>
        </is>
      </c>
      <c r="B168" t="inlineStr">
        <is>
          <t>부산 해운대 농장</t>
        </is>
      </c>
      <c r="C168" t="inlineStr">
        <is>
          <t>바질</t>
        </is>
      </c>
      <c r="D168" t="inlineStr">
        <is>
          <t>4. 조명·냉난방</t>
        </is>
      </c>
      <c r="E168" t="inlineStr">
        <is>
          <t>월 조명전력량</t>
        </is>
      </c>
      <c r="F168" s="8" t="n">
        <v>6882.857142857144</v>
      </c>
      <c r="G168" t="inlineStr">
        <is>
          <t>kWh</t>
        </is>
      </c>
    </row>
    <row r="169">
      <c r="A169" t="inlineStr">
        <is>
          <t>S002-바질</t>
        </is>
      </c>
      <c r="B169" t="inlineStr">
        <is>
          <t>부산 해운대 농장</t>
        </is>
      </c>
      <c r="C169" t="inlineStr">
        <is>
          <t>바질</t>
        </is>
      </c>
      <c r="D169" t="inlineStr">
        <is>
          <t>5. 습도</t>
        </is>
      </c>
      <c r="E169" t="inlineStr">
        <is>
          <t>월 증발산량</t>
        </is>
      </c>
      <c r="F169" s="8" t="n">
        <v>5299.8</v>
      </c>
      <c r="G169" t="inlineStr">
        <is>
          <t>kg</t>
        </is>
      </c>
    </row>
    <row r="170">
      <c r="A170" t="inlineStr">
        <is>
          <t>S002-바질</t>
        </is>
      </c>
      <c r="B170" t="inlineStr">
        <is>
          <t>부산 해운대 농장</t>
        </is>
      </c>
      <c r="C170" t="inlineStr">
        <is>
          <t>바질</t>
        </is>
      </c>
      <c r="D170" t="inlineStr">
        <is>
          <t>6. 전기비</t>
        </is>
      </c>
      <c r="E170" t="inlineStr">
        <is>
          <t>월평균 총 전력량</t>
        </is>
      </c>
      <c r="F170" s="8" t="n">
        <v>10082.76516295819</v>
      </c>
      <c r="G170" t="inlineStr">
        <is>
          <t>kWh</t>
        </is>
      </c>
    </row>
    <row r="171">
      <c r="A171" t="inlineStr">
        <is>
          <t>S002-바질</t>
        </is>
      </c>
      <c r="B171" t="inlineStr">
        <is>
          <t>부산 해운대 농장</t>
        </is>
      </c>
      <c r="C171" t="inlineStr">
        <is>
          <t>바질</t>
        </is>
      </c>
      <c r="D171" t="inlineStr">
        <is>
          <t>6. 전기비</t>
        </is>
      </c>
      <c r="E171" t="inlineStr">
        <is>
          <t>월 전기비</t>
        </is>
      </c>
      <c r="F171" s="9" t="n">
        <v>1562828.600258519</v>
      </c>
      <c r="G171" t="inlineStr">
        <is>
          <t>원</t>
        </is>
      </c>
    </row>
    <row r="172">
      <c r="A172" t="inlineStr">
        <is>
          <t>S002-바질</t>
        </is>
      </c>
      <c r="B172" t="inlineStr">
        <is>
          <t>부산 해운대 농장</t>
        </is>
      </c>
      <c r="C172" t="inlineStr">
        <is>
          <t>바질</t>
        </is>
      </c>
      <c r="D172" t="inlineStr">
        <is>
          <t>7. 수도비</t>
        </is>
      </c>
      <c r="E172" t="inlineStr">
        <is>
          <t>배액률</t>
        </is>
      </c>
      <c r="F172" s="10" t="n">
        <v>0.3</v>
      </c>
      <c r="G172" t="inlineStr">
        <is>
          <t>%</t>
        </is>
      </c>
    </row>
    <row r="173">
      <c r="A173" t="inlineStr">
        <is>
          <t>S002-바질</t>
        </is>
      </c>
      <c r="B173" t="inlineStr">
        <is>
          <t>부산 해운대 농장</t>
        </is>
      </c>
      <c r="C173" t="inlineStr">
        <is>
          <t>바질</t>
        </is>
      </c>
      <c r="D173" t="inlineStr">
        <is>
          <t>7. 수도비</t>
        </is>
      </c>
      <c r="E173" t="inlineStr">
        <is>
          <t>월 작물 순소비량</t>
        </is>
      </c>
      <c r="F173" s="8" t="n">
        <v>5.2998</v>
      </c>
      <c r="G173" t="inlineStr">
        <is>
          <t>m³</t>
        </is>
      </c>
    </row>
    <row r="174">
      <c r="A174" t="inlineStr">
        <is>
          <t>S002-바질</t>
        </is>
      </c>
      <c r="B174" t="inlineStr">
        <is>
          <t>부산 해운대 농장</t>
        </is>
      </c>
      <c r="C174" t="inlineStr">
        <is>
          <t>바질</t>
        </is>
      </c>
      <c r="D174" t="inlineStr">
        <is>
          <t>7. 수도비</t>
        </is>
      </c>
      <c r="E174" t="inlineStr">
        <is>
          <t>월 배액량</t>
        </is>
      </c>
      <c r="F174" s="8" t="n">
        <v>2.271342857142858</v>
      </c>
      <c r="G174" t="inlineStr">
        <is>
          <t>m³</t>
        </is>
      </c>
    </row>
    <row r="175">
      <c r="A175" t="inlineStr">
        <is>
          <t>S002-바질</t>
        </is>
      </c>
      <c r="B175" t="inlineStr">
        <is>
          <t>부산 해운대 농장</t>
        </is>
      </c>
      <c r="C175" t="inlineStr">
        <is>
          <t>바질</t>
        </is>
      </c>
      <c r="D175" t="inlineStr">
        <is>
          <t>7. 수도비</t>
        </is>
      </c>
      <c r="E175" t="inlineStr">
        <is>
          <t>월 작물 관수량</t>
        </is>
      </c>
      <c r="F175" s="8" t="n">
        <v>7.571142857142858</v>
      </c>
      <c r="G175" t="inlineStr">
        <is>
          <t>m³</t>
        </is>
      </c>
    </row>
    <row r="176">
      <c r="A176" t="inlineStr">
        <is>
          <t>S002-바질</t>
        </is>
      </c>
      <c r="B176" t="inlineStr">
        <is>
          <t>부산 해운대 농장</t>
        </is>
      </c>
      <c r="C176" t="inlineStr">
        <is>
          <t>바질</t>
        </is>
      </c>
      <c r="D176" t="inlineStr">
        <is>
          <t>7. 수도비</t>
        </is>
      </c>
      <c r="E176" t="inlineStr">
        <is>
          <t>월 기타 용수량</t>
        </is>
      </c>
      <c r="F176" s="8" t="n">
        <v>0.4015000000000001</v>
      </c>
      <c r="G176" t="inlineStr">
        <is>
          <t>m³</t>
        </is>
      </c>
    </row>
    <row r="177">
      <c r="A177" t="inlineStr">
        <is>
          <t>S002-바질</t>
        </is>
      </c>
      <c r="B177" t="inlineStr">
        <is>
          <t>부산 해운대 농장</t>
        </is>
      </c>
      <c r="C177" t="inlineStr">
        <is>
          <t>바질</t>
        </is>
      </c>
      <c r="D177" t="inlineStr">
        <is>
          <t>7. 수도비</t>
        </is>
      </c>
      <c r="E177" t="inlineStr">
        <is>
          <t>월 총 용수량</t>
        </is>
      </c>
      <c r="F177" s="8" t="n">
        <v>7.972642857142858</v>
      </c>
      <c r="G177" t="inlineStr">
        <is>
          <t>m³</t>
        </is>
      </c>
    </row>
    <row r="178">
      <c r="A178" t="inlineStr">
        <is>
          <t>S002-바질</t>
        </is>
      </c>
      <c r="B178" t="inlineStr">
        <is>
          <t>부산 해운대 농장</t>
        </is>
      </c>
      <c r="C178" t="inlineStr">
        <is>
          <t>바질</t>
        </is>
      </c>
      <c r="D178" t="inlineStr">
        <is>
          <t>7. 수도비</t>
        </is>
      </c>
      <c r="E178" t="inlineStr">
        <is>
          <t>월 수도비</t>
        </is>
      </c>
      <c r="F178" s="9" t="n">
        <v>18337.07857142857</v>
      </c>
      <c r="G178" t="inlineStr">
        <is>
          <t>원</t>
        </is>
      </c>
    </row>
    <row r="179">
      <c r="A179" t="inlineStr">
        <is>
          <t>S002-바질</t>
        </is>
      </c>
      <c r="B179" t="inlineStr">
        <is>
          <t>부산 해운대 농장</t>
        </is>
      </c>
      <c r="C179" t="inlineStr">
        <is>
          <t>바질</t>
        </is>
      </c>
      <c r="D179" t="inlineStr">
        <is>
          <t>8. 재료비</t>
        </is>
      </c>
      <c r="E179" t="inlineStr">
        <is>
          <t>월 모종비</t>
        </is>
      </c>
      <c r="F179" s="9" t="n">
        <v>1900800</v>
      </c>
      <c r="G179" t="inlineStr">
        <is>
          <t>원</t>
        </is>
      </c>
    </row>
    <row r="180">
      <c r="A180" t="inlineStr">
        <is>
          <t>S002-바질</t>
        </is>
      </c>
      <c r="B180" t="inlineStr">
        <is>
          <t>부산 해운대 농장</t>
        </is>
      </c>
      <c r="C180" t="inlineStr">
        <is>
          <t>바질</t>
        </is>
      </c>
      <c r="D180" t="inlineStr">
        <is>
          <t>8. 재료비</t>
        </is>
      </c>
      <c r="E180" t="inlineStr">
        <is>
          <t>월 기타 재료비</t>
        </is>
      </c>
      <c r="F180" s="9" t="n">
        <v>300000</v>
      </c>
      <c r="G180" t="inlineStr">
        <is>
          <t>원</t>
        </is>
      </c>
    </row>
    <row r="181">
      <c r="A181" t="inlineStr">
        <is>
          <t>S002-바질</t>
        </is>
      </c>
      <c r="B181" t="inlineStr">
        <is>
          <t>부산 해운대 농장</t>
        </is>
      </c>
      <c r="C181" t="inlineStr">
        <is>
          <t>바질</t>
        </is>
      </c>
      <c r="D181" t="inlineStr">
        <is>
          <t>8. 재료비</t>
        </is>
      </c>
      <c r="E181" t="inlineStr">
        <is>
          <t>월 재료비</t>
        </is>
      </c>
      <c r="F181" s="9" t="n">
        <v>2200800</v>
      </c>
      <c r="G181" t="inlineStr">
        <is>
          <t>원</t>
        </is>
      </c>
    </row>
    <row r="182">
      <c r="A182" t="inlineStr">
        <is>
          <t>S002-바질</t>
        </is>
      </c>
      <c r="B182" t="inlineStr">
        <is>
          <t>부산 해운대 농장</t>
        </is>
      </c>
      <c r="C182" t="inlineStr">
        <is>
          <t>바질</t>
        </is>
      </c>
      <c r="D182" t="inlineStr">
        <is>
          <t>9. 인건비</t>
        </is>
      </c>
      <c r="E182" t="inlineStr">
        <is>
          <t>월 노동시간</t>
        </is>
      </c>
      <c r="F182" s="8" t="n">
        <v>190.08</v>
      </c>
      <c r="G182" t="inlineStr">
        <is>
          <t>시간</t>
        </is>
      </c>
    </row>
    <row r="183">
      <c r="A183" t="inlineStr">
        <is>
          <t>S002-바질</t>
        </is>
      </c>
      <c r="B183" t="inlineStr">
        <is>
          <t>부산 해운대 농장</t>
        </is>
      </c>
      <c r="C183" t="inlineStr">
        <is>
          <t>바질</t>
        </is>
      </c>
      <c r="D183" t="inlineStr">
        <is>
          <t>9. 인건비</t>
        </is>
      </c>
      <c r="E183" t="inlineStr">
        <is>
          <t>월 인건비</t>
        </is>
      </c>
      <c r="F183" s="9" t="n">
        <v>1961625.6</v>
      </c>
      <c r="G183" t="inlineStr">
        <is>
          <t>원</t>
        </is>
      </c>
    </row>
    <row r="184">
      <c r="A184" t="inlineStr">
        <is>
          <t>S002-바질</t>
        </is>
      </c>
      <c r="B184" t="inlineStr">
        <is>
          <t>부산 해운대 농장</t>
        </is>
      </c>
      <c r="C184" t="inlineStr">
        <is>
          <t>바질</t>
        </is>
      </c>
      <c r="D184" t="inlineStr">
        <is>
          <t>10. 수익</t>
        </is>
      </c>
      <c r="E184" t="inlineStr">
        <is>
          <t>월 운영비</t>
        </is>
      </c>
      <c r="F184" s="9" t="n">
        <v>5843591.278829948</v>
      </c>
      <c r="G184" t="inlineStr">
        <is>
          <t>원</t>
        </is>
      </c>
    </row>
    <row r="185">
      <c r="A185" t="inlineStr">
        <is>
          <t>S002-바질</t>
        </is>
      </c>
      <c r="B185" t="inlineStr">
        <is>
          <t>부산 해운대 농장</t>
        </is>
      </c>
      <c r="C185" t="inlineStr">
        <is>
          <t>바질</t>
        </is>
      </c>
      <c r="D185" t="inlineStr">
        <is>
          <t>10. 수익</t>
        </is>
      </c>
      <c r="E185" t="inlineStr">
        <is>
          <t>월 영업이익</t>
        </is>
      </c>
      <c r="F185" s="9" t="n">
        <v>999288.7211700529</v>
      </c>
      <c r="G185" t="inlineStr">
        <is>
          <t>원</t>
        </is>
      </c>
    </row>
    <row r="186">
      <c r="A186" t="inlineStr">
        <is>
          <t>S002-바질</t>
        </is>
      </c>
      <c r="B186" t="inlineStr">
        <is>
          <t>부산 해운대 농장</t>
        </is>
      </c>
      <c r="C186" t="inlineStr">
        <is>
          <t>바질</t>
        </is>
      </c>
      <c r="D186" t="inlineStr">
        <is>
          <t>10. 수익</t>
        </is>
      </c>
      <c r="E186" t="inlineStr">
        <is>
          <t>공간 대여자 예상수익</t>
        </is>
      </c>
      <c r="F186" s="9" t="n">
        <v>799430.9769360423</v>
      </c>
      <c r="G186" t="inlineStr">
        <is>
          <t>원</t>
        </is>
      </c>
    </row>
    <row r="187">
      <c r="A187" t="inlineStr">
        <is>
          <t>S002-바질</t>
        </is>
      </c>
      <c r="B187" t="inlineStr">
        <is>
          <t>부산 해운대 농장</t>
        </is>
      </c>
      <c r="C187" t="inlineStr">
        <is>
          <t>바질</t>
        </is>
      </c>
      <c r="D187" t="inlineStr">
        <is>
          <t>10. 수익</t>
        </is>
      </c>
      <c r="E187" t="inlineStr">
        <is>
          <t>원하는 월세</t>
        </is>
      </c>
      <c r="F187" s="9" t="n">
        <v>800000</v>
      </c>
      <c r="G187" t="inlineStr">
        <is>
          <t>원</t>
        </is>
      </c>
    </row>
    <row r="188">
      <c r="A188" t="inlineStr">
        <is>
          <t>S002-바질</t>
        </is>
      </c>
      <c r="B188" t="inlineStr">
        <is>
          <t>부산 해운대 농장</t>
        </is>
      </c>
      <c r="C188" t="inlineStr">
        <is>
          <t>바질</t>
        </is>
      </c>
      <c r="D188" t="inlineStr">
        <is>
          <t>10. 수익</t>
        </is>
      </c>
      <c r="E188" t="inlineStr">
        <is>
          <t>공실 월세 대비 차이</t>
        </is>
      </c>
      <c r="F188" s="9" t="n">
        <v>-569.0230639576912</v>
      </c>
      <c r="G188" t="inlineStr">
        <is>
          <t>원</t>
        </is>
      </c>
    </row>
    <row r="189">
      <c r="A189" t="inlineStr">
        <is>
          <t>S002-바질</t>
        </is>
      </c>
      <c r="B189" t="inlineStr">
        <is>
          <t>부산 해운대 농장</t>
        </is>
      </c>
      <c r="C189" t="inlineStr">
        <is>
          <t>바질</t>
        </is>
      </c>
      <c r="D189" t="inlineStr">
        <is>
          <t>10. 수익</t>
        </is>
      </c>
      <c r="E189" t="inlineStr">
        <is>
          <t>사업장 영업이익</t>
        </is>
      </c>
      <c r="F189" s="9" t="n">
        <v>199857.7442340106</v>
      </c>
      <c r="G189" t="inlineStr">
        <is>
          <t>원</t>
        </is>
      </c>
    </row>
    <row r="190">
      <c r="A190" t="inlineStr">
        <is>
          <t>S003-상추</t>
        </is>
      </c>
      <c r="B190" t="inlineStr">
        <is>
          <t>부산 사하구 농장</t>
        </is>
      </c>
      <c r="C190" t="inlineStr">
        <is>
          <t>상추</t>
        </is>
      </c>
      <c r="D190" t="inlineStr">
        <is>
          <t>1. 공간</t>
        </is>
      </c>
      <c r="E190" t="inlineStr">
        <is>
          <t>공실 전체면적</t>
        </is>
      </c>
      <c r="F190" s="8" t="n">
        <v>324</v>
      </c>
      <c r="G190" t="inlineStr">
        <is>
          <t>m²</t>
        </is>
      </c>
    </row>
    <row r="191">
      <c r="A191" t="inlineStr">
        <is>
          <t>S003-상추</t>
        </is>
      </c>
      <c r="B191" t="inlineStr">
        <is>
          <t>부산 사하구 농장</t>
        </is>
      </c>
      <c r="C191" t="inlineStr">
        <is>
          <t>상추</t>
        </is>
      </c>
      <c r="D191" t="inlineStr">
        <is>
          <t>1. 공간</t>
        </is>
      </c>
      <c r="E191" t="inlineStr">
        <is>
          <t>사용가능 바닥면적</t>
        </is>
      </c>
      <c r="F191" s="8" t="n">
        <v>226.8</v>
      </c>
      <c r="G191" t="inlineStr">
        <is>
          <t>m²</t>
        </is>
      </c>
    </row>
    <row r="192">
      <c r="A192" t="inlineStr">
        <is>
          <t>S003-상추</t>
        </is>
      </c>
      <c r="B192" t="inlineStr">
        <is>
          <t>부산 사하구 농장</t>
        </is>
      </c>
      <c r="C192" t="inlineStr">
        <is>
          <t>상추</t>
        </is>
      </c>
      <c r="D192" t="inlineStr">
        <is>
          <t>1. 공간</t>
        </is>
      </c>
      <c r="E192" t="inlineStr">
        <is>
          <t>재배면적</t>
        </is>
      </c>
      <c r="F192" s="8" t="n">
        <v>1134</v>
      </c>
      <c r="G192" t="inlineStr">
        <is>
          <t>m²</t>
        </is>
      </c>
    </row>
    <row r="193">
      <c r="A193" t="inlineStr">
        <is>
          <t>S003-상추</t>
        </is>
      </c>
      <c r="B193" t="inlineStr">
        <is>
          <t>부산 사하구 농장</t>
        </is>
      </c>
      <c r="C193" t="inlineStr">
        <is>
          <t>상추</t>
        </is>
      </c>
      <c r="D193" t="inlineStr">
        <is>
          <t>1. 공간</t>
        </is>
      </c>
      <c r="E193" t="inlineStr">
        <is>
          <t>공간 체적</t>
        </is>
      </c>
      <c r="F193" s="8" t="n">
        <v>810</v>
      </c>
      <c r="G193" t="inlineStr">
        <is>
          <t>m³</t>
        </is>
      </c>
    </row>
    <row r="194">
      <c r="A194" t="inlineStr">
        <is>
          <t>S003-상추</t>
        </is>
      </c>
      <c r="B194" t="inlineStr">
        <is>
          <t>부산 사하구 농장</t>
        </is>
      </c>
      <c r="C194" t="inlineStr">
        <is>
          <t>상추</t>
        </is>
      </c>
      <c r="D194" t="inlineStr">
        <is>
          <t>2. 생산</t>
        </is>
      </c>
      <c r="E194" t="inlineStr">
        <is>
          <t>월 총생산량</t>
        </is>
      </c>
      <c r="F194" s="8" t="n">
        <v>3402</v>
      </c>
      <c r="G194" t="inlineStr">
        <is>
          <t>kg</t>
        </is>
      </c>
    </row>
    <row r="195">
      <c r="A195" t="inlineStr">
        <is>
          <t>S003-상추</t>
        </is>
      </c>
      <c r="B195" t="inlineStr">
        <is>
          <t>부산 사하구 농장</t>
        </is>
      </c>
      <c r="C195" t="inlineStr">
        <is>
          <t>상추</t>
        </is>
      </c>
      <c r="D195" t="inlineStr">
        <is>
          <t>2. 생산</t>
        </is>
      </c>
      <c r="E195" t="inlineStr">
        <is>
          <t>월 판매량</t>
        </is>
      </c>
      <c r="F195" s="8" t="n">
        <v>3061.8</v>
      </c>
      <c r="G195" t="inlineStr">
        <is>
          <t>kg</t>
        </is>
      </c>
    </row>
    <row r="196">
      <c r="A196" t="inlineStr">
        <is>
          <t>S003-상추</t>
        </is>
      </c>
      <c r="B196" t="inlineStr">
        <is>
          <t>부산 사하구 농장</t>
        </is>
      </c>
      <c r="C196" t="inlineStr">
        <is>
          <t>상추</t>
        </is>
      </c>
      <c r="D196" t="inlineStr">
        <is>
          <t>3. 매출</t>
        </is>
      </c>
      <c r="E196" t="inlineStr">
        <is>
          <t>판매가격</t>
        </is>
      </c>
      <c r="F196" s="9" t="n">
        <v>8000</v>
      </c>
      <c r="G196" t="inlineStr">
        <is>
          <t>원/kg</t>
        </is>
      </c>
    </row>
    <row r="197">
      <c r="A197" t="inlineStr">
        <is>
          <t>S003-상추</t>
        </is>
      </c>
      <c r="B197" t="inlineStr">
        <is>
          <t>부산 사하구 농장</t>
        </is>
      </c>
      <c r="C197" t="inlineStr">
        <is>
          <t>상추</t>
        </is>
      </c>
      <c r="D197" t="inlineStr">
        <is>
          <t>3. 매출</t>
        </is>
      </c>
      <c r="E197" t="inlineStr">
        <is>
          <t>월 매출</t>
        </is>
      </c>
      <c r="F197" s="9" t="n">
        <v>24494400</v>
      </c>
      <c r="G197" t="inlineStr">
        <is>
          <t>원</t>
        </is>
      </c>
    </row>
    <row r="198">
      <c r="A198" t="inlineStr">
        <is>
          <t>S003-상추</t>
        </is>
      </c>
      <c r="B198" t="inlineStr">
        <is>
          <t>부산 사하구 농장</t>
        </is>
      </c>
      <c r="C198" t="inlineStr">
        <is>
          <t>상추</t>
        </is>
      </c>
      <c r="D198" t="inlineStr">
        <is>
          <t>4. 조명·냉난방</t>
        </is>
      </c>
      <c r="E198" t="inlineStr">
        <is>
          <t>필요 조명전력</t>
        </is>
      </c>
      <c r="F198" s="8" t="n">
        <v>81000</v>
      </c>
      <c r="G198" t="inlineStr">
        <is>
          <t>W</t>
        </is>
      </c>
    </row>
    <row r="199">
      <c r="A199" t="inlineStr">
        <is>
          <t>S003-상추</t>
        </is>
      </c>
      <c r="B199" t="inlineStr">
        <is>
          <t>부산 사하구 농장</t>
        </is>
      </c>
      <c r="C199" t="inlineStr">
        <is>
          <t>상추</t>
        </is>
      </c>
      <c r="D199" t="inlineStr">
        <is>
          <t>4. 조명·냉난방</t>
        </is>
      </c>
      <c r="E199" t="inlineStr">
        <is>
          <t>월 조명전력량</t>
        </is>
      </c>
      <c r="F199" s="8" t="n">
        <v>36956.25</v>
      </c>
      <c r="G199" t="inlineStr">
        <is>
          <t>kWh</t>
        </is>
      </c>
    </row>
    <row r="200">
      <c r="A200" t="inlineStr">
        <is>
          <t>S003-상추</t>
        </is>
      </c>
      <c r="B200" t="inlineStr">
        <is>
          <t>부산 사하구 농장</t>
        </is>
      </c>
      <c r="C200" t="inlineStr">
        <is>
          <t>상추</t>
        </is>
      </c>
      <c r="D200" t="inlineStr">
        <is>
          <t>5. 습도</t>
        </is>
      </c>
      <c r="E200" t="inlineStr">
        <is>
          <t>월 증발산량</t>
        </is>
      </c>
      <c r="F200" s="8" t="n">
        <v>110376</v>
      </c>
      <c r="G200" t="inlineStr">
        <is>
          <t>kg</t>
        </is>
      </c>
    </row>
    <row r="201">
      <c r="A201" t="inlineStr">
        <is>
          <t>S003-상추</t>
        </is>
      </c>
      <c r="B201" t="inlineStr">
        <is>
          <t>부산 사하구 농장</t>
        </is>
      </c>
      <c r="C201" t="inlineStr">
        <is>
          <t>상추</t>
        </is>
      </c>
      <c r="D201" t="inlineStr">
        <is>
          <t>6. 전기비</t>
        </is>
      </c>
      <c r="E201" t="inlineStr">
        <is>
          <t>월평균 총 전력량</t>
        </is>
      </c>
      <c r="F201" s="8" t="n">
        <v>95183.49944819551</v>
      </c>
      <c r="G201" t="inlineStr">
        <is>
          <t>kWh</t>
        </is>
      </c>
    </row>
    <row r="202">
      <c r="A202" t="inlineStr">
        <is>
          <t>S003-상추</t>
        </is>
      </c>
      <c r="B202" t="inlineStr">
        <is>
          <t>부산 사하구 농장</t>
        </is>
      </c>
      <c r="C202" t="inlineStr">
        <is>
          <t>상추</t>
        </is>
      </c>
      <c r="D202" t="inlineStr">
        <is>
          <t>6. 전기비</t>
        </is>
      </c>
      <c r="E202" t="inlineStr">
        <is>
          <t>월 전기비</t>
        </is>
      </c>
      <c r="F202" s="9" t="n">
        <v>14753442.4144703</v>
      </c>
      <c r="G202" t="inlineStr">
        <is>
          <t>원</t>
        </is>
      </c>
    </row>
    <row r="203">
      <c r="A203" t="inlineStr">
        <is>
          <t>S003-상추</t>
        </is>
      </c>
      <c r="B203" t="inlineStr">
        <is>
          <t>부산 사하구 농장</t>
        </is>
      </c>
      <c r="C203" t="inlineStr">
        <is>
          <t>상추</t>
        </is>
      </c>
      <c r="D203" t="inlineStr">
        <is>
          <t>7. 수도비</t>
        </is>
      </c>
      <c r="E203" t="inlineStr">
        <is>
          <t>배액률</t>
        </is>
      </c>
      <c r="F203" s="10" t="n">
        <v>0.3</v>
      </c>
      <c r="G203" t="inlineStr">
        <is>
          <t>%</t>
        </is>
      </c>
    </row>
    <row r="204">
      <c r="A204" t="inlineStr">
        <is>
          <t>S003-상추</t>
        </is>
      </c>
      <c r="B204" t="inlineStr">
        <is>
          <t>부산 사하구 농장</t>
        </is>
      </c>
      <c r="C204" t="inlineStr">
        <is>
          <t>상추</t>
        </is>
      </c>
      <c r="D204" t="inlineStr">
        <is>
          <t>7. 수도비</t>
        </is>
      </c>
      <c r="E204" t="inlineStr">
        <is>
          <t>월 작물 순소비량</t>
        </is>
      </c>
      <c r="F204" s="8" t="n">
        <v>110.376</v>
      </c>
      <c r="G204" t="inlineStr">
        <is>
          <t>m³</t>
        </is>
      </c>
    </row>
    <row r="205">
      <c r="A205" t="inlineStr">
        <is>
          <t>S003-상추</t>
        </is>
      </c>
      <c r="B205" t="inlineStr">
        <is>
          <t>부산 사하구 농장</t>
        </is>
      </c>
      <c r="C205" t="inlineStr">
        <is>
          <t>상추</t>
        </is>
      </c>
      <c r="D205" t="inlineStr">
        <is>
          <t>7. 수도비</t>
        </is>
      </c>
      <c r="E205" t="inlineStr">
        <is>
          <t>월 배액량</t>
        </is>
      </c>
      <c r="F205" s="8" t="n">
        <v>47.30400000000002</v>
      </c>
      <c r="G205" t="inlineStr">
        <is>
          <t>m³</t>
        </is>
      </c>
    </row>
    <row r="206">
      <c r="A206" t="inlineStr">
        <is>
          <t>S003-상추</t>
        </is>
      </c>
      <c r="B206" t="inlineStr">
        <is>
          <t>부산 사하구 농장</t>
        </is>
      </c>
      <c r="C206" t="inlineStr">
        <is>
          <t>상추</t>
        </is>
      </c>
      <c r="D206" t="inlineStr">
        <is>
          <t>7. 수도비</t>
        </is>
      </c>
      <c r="E206" t="inlineStr">
        <is>
          <t>월 작물 관수량</t>
        </is>
      </c>
      <c r="F206" s="8" t="n">
        <v>157.68</v>
      </c>
      <c r="G206" t="inlineStr">
        <is>
          <t>m³</t>
        </is>
      </c>
    </row>
    <row r="207">
      <c r="A207" t="inlineStr">
        <is>
          <t>S003-상추</t>
        </is>
      </c>
      <c r="B207" t="inlineStr">
        <is>
          <t>부산 사하구 농장</t>
        </is>
      </c>
      <c r="C207" t="inlineStr">
        <is>
          <t>상추</t>
        </is>
      </c>
      <c r="D207" t="inlineStr">
        <is>
          <t>7. 수도비</t>
        </is>
      </c>
      <c r="E207" t="inlineStr">
        <is>
          <t>월 기타 용수량</t>
        </is>
      </c>
      <c r="F207" s="8" t="n">
        <v>1.971</v>
      </c>
      <c r="G207" t="inlineStr">
        <is>
          <t>m³</t>
        </is>
      </c>
    </row>
    <row r="208">
      <c r="A208" t="inlineStr">
        <is>
          <t>S003-상추</t>
        </is>
      </c>
      <c r="B208" t="inlineStr">
        <is>
          <t>부산 사하구 농장</t>
        </is>
      </c>
      <c r="C208" t="inlineStr">
        <is>
          <t>상추</t>
        </is>
      </c>
      <c r="D208" t="inlineStr">
        <is>
          <t>7. 수도비</t>
        </is>
      </c>
      <c r="E208" t="inlineStr">
        <is>
          <t>월 총 용수량</t>
        </is>
      </c>
      <c r="F208" s="8" t="n">
        <v>159.651</v>
      </c>
      <c r="G208" t="inlineStr">
        <is>
          <t>m³</t>
        </is>
      </c>
    </row>
    <row r="209">
      <c r="A209" t="inlineStr">
        <is>
          <t>S003-상추</t>
        </is>
      </c>
      <c r="B209" t="inlineStr">
        <is>
          <t>부산 사하구 농장</t>
        </is>
      </c>
      <c r="C209" t="inlineStr">
        <is>
          <t>상추</t>
        </is>
      </c>
      <c r="D209" t="inlineStr">
        <is>
          <t>7. 수도비</t>
        </is>
      </c>
      <c r="E209" t="inlineStr">
        <is>
          <t>월 수도비</t>
        </is>
      </c>
      <c r="F209" s="9" t="n">
        <v>367197.3000000001</v>
      </c>
      <c r="G209" t="inlineStr">
        <is>
          <t>원</t>
        </is>
      </c>
    </row>
    <row r="210">
      <c r="A210" t="inlineStr">
        <is>
          <t>S003-상추</t>
        </is>
      </c>
      <c r="B210" t="inlineStr">
        <is>
          <t>부산 사하구 농장</t>
        </is>
      </c>
      <c r="C210" t="inlineStr">
        <is>
          <t>상추</t>
        </is>
      </c>
      <c r="D210" t="inlineStr">
        <is>
          <t>8. 재료비</t>
        </is>
      </c>
      <c r="E210" t="inlineStr">
        <is>
          <t>월 모종비</t>
        </is>
      </c>
      <c r="F210" s="9" t="n">
        <v>8505000</v>
      </c>
      <c r="G210" t="inlineStr">
        <is>
          <t>원</t>
        </is>
      </c>
    </row>
    <row r="211">
      <c r="A211" t="inlineStr">
        <is>
          <t>S003-상추</t>
        </is>
      </c>
      <c r="B211" t="inlineStr">
        <is>
          <t>부산 사하구 농장</t>
        </is>
      </c>
      <c r="C211" t="inlineStr">
        <is>
          <t>상추</t>
        </is>
      </c>
      <c r="D211" t="inlineStr">
        <is>
          <t>8. 재료비</t>
        </is>
      </c>
      <c r="E211" t="inlineStr">
        <is>
          <t>월 기타 재료비</t>
        </is>
      </c>
      <c r="F211" s="9" t="n">
        <v>300000</v>
      </c>
      <c r="G211" t="inlineStr">
        <is>
          <t>원</t>
        </is>
      </c>
    </row>
    <row r="212">
      <c r="A212" t="inlineStr">
        <is>
          <t>S003-상추</t>
        </is>
      </c>
      <c r="B212" t="inlineStr">
        <is>
          <t>부산 사하구 농장</t>
        </is>
      </c>
      <c r="C212" t="inlineStr">
        <is>
          <t>상추</t>
        </is>
      </c>
      <c r="D212" t="inlineStr">
        <is>
          <t>8. 재료비</t>
        </is>
      </c>
      <c r="E212" t="inlineStr">
        <is>
          <t>월 재료비</t>
        </is>
      </c>
      <c r="F212" s="9" t="n">
        <v>8805000</v>
      </c>
      <c r="G212" t="inlineStr">
        <is>
          <t>원</t>
        </is>
      </c>
    </row>
    <row r="213">
      <c r="A213" t="inlineStr">
        <is>
          <t>S003-상추</t>
        </is>
      </c>
      <c r="B213" t="inlineStr">
        <is>
          <t>부산 사하구 농장</t>
        </is>
      </c>
      <c r="C213" t="inlineStr">
        <is>
          <t>상추</t>
        </is>
      </c>
      <c r="D213" t="inlineStr">
        <is>
          <t>9. 인건비</t>
        </is>
      </c>
      <c r="E213" t="inlineStr">
        <is>
          <t>월 노동시간</t>
        </is>
      </c>
      <c r="F213" s="8" t="n">
        <v>1701</v>
      </c>
      <c r="G213" t="inlineStr">
        <is>
          <t>시간</t>
        </is>
      </c>
    </row>
    <row r="214">
      <c r="A214" t="inlineStr">
        <is>
          <t>S003-상추</t>
        </is>
      </c>
      <c r="B214" t="inlineStr">
        <is>
          <t>부산 사하구 농장</t>
        </is>
      </c>
      <c r="C214" t="inlineStr">
        <is>
          <t>상추</t>
        </is>
      </c>
      <c r="D214" t="inlineStr">
        <is>
          <t>9. 인건비</t>
        </is>
      </c>
      <c r="E214" t="inlineStr">
        <is>
          <t>월 인건비</t>
        </is>
      </c>
      <c r="F214" s="9" t="n">
        <v>17554320</v>
      </c>
      <c r="G214" t="inlineStr">
        <is>
          <t>원</t>
        </is>
      </c>
    </row>
    <row r="215">
      <c r="A215" t="inlineStr">
        <is>
          <t>S003-상추</t>
        </is>
      </c>
      <c r="B215" t="inlineStr">
        <is>
          <t>부산 사하구 농장</t>
        </is>
      </c>
      <c r="C215" t="inlineStr">
        <is>
          <t>상추</t>
        </is>
      </c>
      <c r="D215" t="inlineStr">
        <is>
          <t>10. 수익</t>
        </is>
      </c>
      <c r="E215" t="inlineStr">
        <is>
          <t>월 운영비</t>
        </is>
      </c>
      <c r="F215" s="9" t="n">
        <v>41579959.7144703</v>
      </c>
      <c r="G215" t="inlineStr">
        <is>
          <t>원</t>
        </is>
      </c>
    </row>
    <row r="216">
      <c r="A216" t="inlineStr">
        <is>
          <t>S003-상추</t>
        </is>
      </c>
      <c r="B216" t="inlineStr">
        <is>
          <t>부산 사하구 농장</t>
        </is>
      </c>
      <c r="C216" t="inlineStr">
        <is>
          <t>상추</t>
        </is>
      </c>
      <c r="D216" t="inlineStr">
        <is>
          <t>10. 수익</t>
        </is>
      </c>
      <c r="E216" t="inlineStr">
        <is>
          <t>월 영업이익</t>
        </is>
      </c>
      <c r="F216" s="9" t="n">
        <v>-17085559.7144703</v>
      </c>
      <c r="G216" t="inlineStr">
        <is>
          <t>원</t>
        </is>
      </c>
    </row>
    <row r="217">
      <c r="A217" t="inlineStr">
        <is>
          <t>S003-상추</t>
        </is>
      </c>
      <c r="B217" t="inlineStr">
        <is>
          <t>부산 사하구 농장</t>
        </is>
      </c>
      <c r="C217" t="inlineStr">
        <is>
          <t>상추</t>
        </is>
      </c>
      <c r="D217" t="inlineStr">
        <is>
          <t>10. 수익</t>
        </is>
      </c>
      <c r="E217" t="inlineStr">
        <is>
          <t>공간 대여자 예상수익</t>
        </is>
      </c>
      <c r="F217" s="9" t="n">
        <v>-13668447.77157624</v>
      </c>
      <c r="G217" t="inlineStr">
        <is>
          <t>원</t>
        </is>
      </c>
    </row>
    <row r="218">
      <c r="A218" t="inlineStr">
        <is>
          <t>S003-상추</t>
        </is>
      </c>
      <c r="B218" t="inlineStr">
        <is>
          <t>부산 사하구 농장</t>
        </is>
      </c>
      <c r="C218" t="inlineStr">
        <is>
          <t>상추</t>
        </is>
      </c>
      <c r="D218" t="inlineStr">
        <is>
          <t>10. 수익</t>
        </is>
      </c>
      <c r="E218" t="inlineStr">
        <is>
          <t>원하는 월세</t>
        </is>
      </c>
      <c r="F218" s="9" t="n">
        <v>3500000</v>
      </c>
      <c r="G218" t="inlineStr">
        <is>
          <t>원</t>
        </is>
      </c>
    </row>
    <row r="219">
      <c r="A219" t="inlineStr">
        <is>
          <t>S003-상추</t>
        </is>
      </c>
      <c r="B219" t="inlineStr">
        <is>
          <t>부산 사하구 농장</t>
        </is>
      </c>
      <c r="C219" t="inlineStr">
        <is>
          <t>상추</t>
        </is>
      </c>
      <c r="D219" t="inlineStr">
        <is>
          <t>10. 수익</t>
        </is>
      </c>
      <c r="E219" t="inlineStr">
        <is>
          <t>공실 월세 대비 차이</t>
        </is>
      </c>
      <c r="F219" s="9" t="n">
        <v>-17168447.77157624</v>
      </c>
      <c r="G219" t="inlineStr">
        <is>
          <t>원</t>
        </is>
      </c>
    </row>
    <row r="220">
      <c r="A220" t="inlineStr">
        <is>
          <t>S003-상추</t>
        </is>
      </c>
      <c r="B220" t="inlineStr">
        <is>
          <t>부산 사하구 농장</t>
        </is>
      </c>
      <c r="C220" t="inlineStr">
        <is>
          <t>상추</t>
        </is>
      </c>
      <c r="D220" t="inlineStr">
        <is>
          <t>10. 수익</t>
        </is>
      </c>
      <c r="E220" t="inlineStr">
        <is>
          <t>사업장 영업이익</t>
        </is>
      </c>
      <c r="F220" s="9" t="n">
        <v>-3417111.94289406</v>
      </c>
      <c r="G220" t="inlineStr">
        <is>
          <t>원</t>
        </is>
      </c>
    </row>
    <row r="221">
      <c r="A221" t="inlineStr">
        <is>
          <t>S003-딸기</t>
        </is>
      </c>
      <c r="B221" t="inlineStr">
        <is>
          <t>부산 사하구 농장</t>
        </is>
      </c>
      <c r="C221" t="inlineStr">
        <is>
          <t>딸기</t>
        </is>
      </c>
      <c r="D221" t="inlineStr">
        <is>
          <t>1. 공간</t>
        </is>
      </c>
      <c r="E221" t="inlineStr">
        <is>
          <t>공실 전체면적</t>
        </is>
      </c>
      <c r="F221" s="8" t="n">
        <v>324</v>
      </c>
      <c r="G221" t="inlineStr">
        <is>
          <t>m²</t>
        </is>
      </c>
    </row>
    <row r="222">
      <c r="A222" t="inlineStr">
        <is>
          <t>S003-딸기</t>
        </is>
      </c>
      <c r="B222" t="inlineStr">
        <is>
          <t>부산 사하구 농장</t>
        </is>
      </c>
      <c r="C222" t="inlineStr">
        <is>
          <t>딸기</t>
        </is>
      </c>
      <c r="D222" t="inlineStr">
        <is>
          <t>1. 공간</t>
        </is>
      </c>
      <c r="E222" t="inlineStr">
        <is>
          <t>사용가능 바닥면적</t>
        </is>
      </c>
      <c r="F222" s="8" t="n">
        <v>226.8</v>
      </c>
      <c r="G222" t="inlineStr">
        <is>
          <t>m²</t>
        </is>
      </c>
    </row>
    <row r="223">
      <c r="A223" t="inlineStr">
        <is>
          <t>S003-딸기</t>
        </is>
      </c>
      <c r="B223" t="inlineStr">
        <is>
          <t>부산 사하구 농장</t>
        </is>
      </c>
      <c r="C223" t="inlineStr">
        <is>
          <t>딸기</t>
        </is>
      </c>
      <c r="D223" t="inlineStr">
        <is>
          <t>1. 공간</t>
        </is>
      </c>
      <c r="E223" t="inlineStr">
        <is>
          <t>재배면적</t>
        </is>
      </c>
      <c r="F223" s="8" t="n">
        <v>1134</v>
      </c>
      <c r="G223" t="inlineStr">
        <is>
          <t>m²</t>
        </is>
      </c>
    </row>
    <row r="224">
      <c r="A224" t="inlineStr">
        <is>
          <t>S003-딸기</t>
        </is>
      </c>
      <c r="B224" t="inlineStr">
        <is>
          <t>부산 사하구 농장</t>
        </is>
      </c>
      <c r="C224" t="inlineStr">
        <is>
          <t>딸기</t>
        </is>
      </c>
      <c r="D224" t="inlineStr">
        <is>
          <t>1. 공간</t>
        </is>
      </c>
      <c r="E224" t="inlineStr">
        <is>
          <t>공간 체적</t>
        </is>
      </c>
      <c r="F224" s="8" t="n">
        <v>810</v>
      </c>
      <c r="G224" t="inlineStr">
        <is>
          <t>m³</t>
        </is>
      </c>
    </row>
    <row r="225">
      <c r="A225" t="inlineStr">
        <is>
          <t>S003-딸기</t>
        </is>
      </c>
      <c r="B225" t="inlineStr">
        <is>
          <t>부산 사하구 농장</t>
        </is>
      </c>
      <c r="C225" t="inlineStr">
        <is>
          <t>딸기</t>
        </is>
      </c>
      <c r="D225" t="inlineStr">
        <is>
          <t>2. 생산</t>
        </is>
      </c>
      <c r="E225" t="inlineStr">
        <is>
          <t>월 총생산량</t>
        </is>
      </c>
      <c r="F225" s="8" t="n">
        <v>1757.7</v>
      </c>
      <c r="G225" t="inlineStr">
        <is>
          <t>kg</t>
        </is>
      </c>
    </row>
    <row r="226">
      <c r="A226" t="inlineStr">
        <is>
          <t>S003-딸기</t>
        </is>
      </c>
      <c r="B226" t="inlineStr">
        <is>
          <t>부산 사하구 농장</t>
        </is>
      </c>
      <c r="C226" t="inlineStr">
        <is>
          <t>딸기</t>
        </is>
      </c>
      <c r="D226" t="inlineStr">
        <is>
          <t>2. 생산</t>
        </is>
      </c>
      <c r="E226" t="inlineStr">
        <is>
          <t>월 판매량</t>
        </is>
      </c>
      <c r="F226" s="8" t="n">
        <v>1581.93</v>
      </c>
      <c r="G226" t="inlineStr">
        <is>
          <t>kg</t>
        </is>
      </c>
    </row>
    <row r="227">
      <c r="A227" t="inlineStr">
        <is>
          <t>S003-딸기</t>
        </is>
      </c>
      <c r="B227" t="inlineStr">
        <is>
          <t>부산 사하구 농장</t>
        </is>
      </c>
      <c r="C227" t="inlineStr">
        <is>
          <t>딸기</t>
        </is>
      </c>
      <c r="D227" t="inlineStr">
        <is>
          <t>3. 매출</t>
        </is>
      </c>
      <c r="E227" t="inlineStr">
        <is>
          <t>판매가격</t>
        </is>
      </c>
      <c r="F227" s="9" t="n">
        <v>30000</v>
      </c>
      <c r="G227" t="inlineStr">
        <is>
          <t>원/kg</t>
        </is>
      </c>
    </row>
    <row r="228">
      <c r="A228" t="inlineStr">
        <is>
          <t>S003-딸기</t>
        </is>
      </c>
      <c r="B228" t="inlineStr">
        <is>
          <t>부산 사하구 농장</t>
        </is>
      </c>
      <c r="C228" t="inlineStr">
        <is>
          <t>딸기</t>
        </is>
      </c>
      <c r="D228" t="inlineStr">
        <is>
          <t>3. 매출</t>
        </is>
      </c>
      <c r="E228" t="inlineStr">
        <is>
          <t>월 매출</t>
        </is>
      </c>
      <c r="F228" s="9" t="n">
        <v>47457900</v>
      </c>
      <c r="G228" t="inlineStr">
        <is>
          <t>원</t>
        </is>
      </c>
    </row>
    <row r="229">
      <c r="A229" t="inlineStr">
        <is>
          <t>S003-딸기</t>
        </is>
      </c>
      <c r="B229" t="inlineStr">
        <is>
          <t>부산 사하구 농장</t>
        </is>
      </c>
      <c r="C229" t="inlineStr">
        <is>
          <t>딸기</t>
        </is>
      </c>
      <c r="D229" t="inlineStr">
        <is>
          <t>4. 조명·냉난방</t>
        </is>
      </c>
      <c r="E229" t="inlineStr">
        <is>
          <t>필요 조명전력</t>
        </is>
      </c>
      <c r="F229" s="8" t="n">
        <v>101250</v>
      </c>
      <c r="G229" t="inlineStr">
        <is>
          <t>W</t>
        </is>
      </c>
    </row>
    <row r="230">
      <c r="A230" t="inlineStr">
        <is>
          <t>S003-딸기</t>
        </is>
      </c>
      <c r="B230" t="inlineStr">
        <is>
          <t>부산 사하구 농장</t>
        </is>
      </c>
      <c r="C230" t="inlineStr">
        <is>
          <t>딸기</t>
        </is>
      </c>
      <c r="D230" t="inlineStr">
        <is>
          <t>4. 조명·냉난방</t>
        </is>
      </c>
      <c r="E230" t="inlineStr">
        <is>
          <t>월 조명전력량</t>
        </is>
      </c>
      <c r="F230" s="8" t="n">
        <v>49275</v>
      </c>
      <c r="G230" t="inlineStr">
        <is>
          <t>kWh</t>
        </is>
      </c>
    </row>
    <row r="231">
      <c r="A231" t="inlineStr">
        <is>
          <t>S003-딸기</t>
        </is>
      </c>
      <c r="B231" t="inlineStr">
        <is>
          <t>부산 사하구 농장</t>
        </is>
      </c>
      <c r="C231" t="inlineStr">
        <is>
          <t>딸기</t>
        </is>
      </c>
      <c r="D231" t="inlineStr">
        <is>
          <t>5. 습도</t>
        </is>
      </c>
      <c r="E231" t="inlineStr">
        <is>
          <t>월 증발산량</t>
        </is>
      </c>
      <c r="F231" s="8" t="n">
        <v>31043.25</v>
      </c>
      <c r="G231" t="inlineStr">
        <is>
          <t>kg</t>
        </is>
      </c>
    </row>
    <row r="232">
      <c r="A232" t="inlineStr">
        <is>
          <t>S003-딸기</t>
        </is>
      </c>
      <c r="B232" t="inlineStr">
        <is>
          <t>부산 사하구 농장</t>
        </is>
      </c>
      <c r="C232" t="inlineStr">
        <is>
          <t>딸기</t>
        </is>
      </c>
      <c r="D232" t="inlineStr">
        <is>
          <t>6. 전기비</t>
        </is>
      </c>
      <c r="E232" t="inlineStr">
        <is>
          <t>월평균 총 전력량</t>
        </is>
      </c>
      <c r="F232" s="8" t="n">
        <v>68862.84012814773</v>
      </c>
      <c r="G232" t="inlineStr">
        <is>
          <t>kWh</t>
        </is>
      </c>
    </row>
    <row r="233">
      <c r="A233" t="inlineStr">
        <is>
          <t>S003-딸기</t>
        </is>
      </c>
      <c r="B233" t="inlineStr">
        <is>
          <t>부산 사하구 농장</t>
        </is>
      </c>
      <c r="C233" t="inlineStr">
        <is>
          <t>딸기</t>
        </is>
      </c>
      <c r="D233" t="inlineStr">
        <is>
          <t>6. 전기비</t>
        </is>
      </c>
      <c r="E233" t="inlineStr">
        <is>
          <t>월 전기비</t>
        </is>
      </c>
      <c r="F233" s="9" t="n">
        <v>10673740.2198629</v>
      </c>
      <c r="G233" t="inlineStr">
        <is>
          <t>원</t>
        </is>
      </c>
    </row>
    <row r="234">
      <c r="A234" t="inlineStr">
        <is>
          <t>S003-딸기</t>
        </is>
      </c>
      <c r="B234" t="inlineStr">
        <is>
          <t>부산 사하구 농장</t>
        </is>
      </c>
      <c r="C234" t="inlineStr">
        <is>
          <t>딸기</t>
        </is>
      </c>
      <c r="D234" t="inlineStr">
        <is>
          <t>7. 수도비</t>
        </is>
      </c>
      <c r="E234" t="inlineStr">
        <is>
          <t>배액률</t>
        </is>
      </c>
      <c r="F234" s="10" t="n">
        <v>0.3</v>
      </c>
      <c r="G234" t="inlineStr">
        <is>
          <t>%</t>
        </is>
      </c>
    </row>
    <row r="235">
      <c r="A235" t="inlineStr">
        <is>
          <t>S003-딸기</t>
        </is>
      </c>
      <c r="B235" t="inlineStr">
        <is>
          <t>부산 사하구 농장</t>
        </is>
      </c>
      <c r="C235" t="inlineStr">
        <is>
          <t>딸기</t>
        </is>
      </c>
      <c r="D235" t="inlineStr">
        <is>
          <t>7. 수도비</t>
        </is>
      </c>
      <c r="E235" t="inlineStr">
        <is>
          <t>월 작물 순소비량</t>
        </is>
      </c>
      <c r="F235" s="8" t="n">
        <v>31.04325</v>
      </c>
      <c r="G235" t="inlineStr">
        <is>
          <t>m³</t>
        </is>
      </c>
    </row>
    <row r="236">
      <c r="A236" t="inlineStr">
        <is>
          <t>S003-딸기</t>
        </is>
      </c>
      <c r="B236" t="inlineStr">
        <is>
          <t>부산 사하구 농장</t>
        </is>
      </c>
      <c r="C236" t="inlineStr">
        <is>
          <t>딸기</t>
        </is>
      </c>
      <c r="D236" t="inlineStr">
        <is>
          <t>7. 수도비</t>
        </is>
      </c>
      <c r="E236" t="inlineStr">
        <is>
          <t>월 배액량</t>
        </is>
      </c>
      <c r="F236" s="8" t="n">
        <v>13.30425</v>
      </c>
      <c r="G236" t="inlineStr">
        <is>
          <t>m³</t>
        </is>
      </c>
    </row>
    <row r="237">
      <c r="A237" t="inlineStr">
        <is>
          <t>S003-딸기</t>
        </is>
      </c>
      <c r="B237" t="inlineStr">
        <is>
          <t>부산 사하구 농장</t>
        </is>
      </c>
      <c r="C237" t="inlineStr">
        <is>
          <t>딸기</t>
        </is>
      </c>
      <c r="D237" t="inlineStr">
        <is>
          <t>7. 수도비</t>
        </is>
      </c>
      <c r="E237" t="inlineStr">
        <is>
          <t>월 작물 관수량</t>
        </is>
      </c>
      <c r="F237" s="8" t="n">
        <v>44.34750000000001</v>
      </c>
      <c r="G237" t="inlineStr">
        <is>
          <t>m³</t>
        </is>
      </c>
    </row>
    <row r="238">
      <c r="A238" t="inlineStr">
        <is>
          <t>S003-딸기</t>
        </is>
      </c>
      <c r="B238" t="inlineStr">
        <is>
          <t>부산 사하구 농장</t>
        </is>
      </c>
      <c r="C238" t="inlineStr">
        <is>
          <t>딸기</t>
        </is>
      </c>
      <c r="D238" t="inlineStr">
        <is>
          <t>7. 수도비</t>
        </is>
      </c>
      <c r="E238" t="inlineStr">
        <is>
          <t>월 기타 용수량</t>
        </is>
      </c>
      <c r="F238" s="8" t="n">
        <v>1.971</v>
      </c>
      <c r="G238" t="inlineStr">
        <is>
          <t>m³</t>
        </is>
      </c>
    </row>
    <row r="239">
      <c r="A239" t="inlineStr">
        <is>
          <t>S003-딸기</t>
        </is>
      </c>
      <c r="B239" t="inlineStr">
        <is>
          <t>부산 사하구 농장</t>
        </is>
      </c>
      <c r="C239" t="inlineStr">
        <is>
          <t>딸기</t>
        </is>
      </c>
      <c r="D239" t="inlineStr">
        <is>
          <t>7. 수도비</t>
        </is>
      </c>
      <c r="E239" t="inlineStr">
        <is>
          <t>월 총 용수량</t>
        </is>
      </c>
      <c r="F239" s="8" t="n">
        <v>46.31850000000001</v>
      </c>
      <c r="G239" t="inlineStr">
        <is>
          <t>m³</t>
        </is>
      </c>
    </row>
    <row r="240">
      <c r="A240" t="inlineStr">
        <is>
          <t>S003-딸기</t>
        </is>
      </c>
      <c r="B240" t="inlineStr">
        <is>
          <t>부산 사하구 농장</t>
        </is>
      </c>
      <c r="C240" t="inlineStr">
        <is>
          <t>딸기</t>
        </is>
      </c>
      <c r="D240" t="inlineStr">
        <is>
          <t>7. 수도비</t>
        </is>
      </c>
      <c r="E240" t="inlineStr">
        <is>
          <t>월 수도비</t>
        </is>
      </c>
      <c r="F240" s="9" t="n">
        <v>106532.55</v>
      </c>
      <c r="G240" t="inlineStr">
        <is>
          <t>원</t>
        </is>
      </c>
    </row>
    <row r="241">
      <c r="A241" t="inlineStr">
        <is>
          <t>S003-딸기</t>
        </is>
      </c>
      <c r="B241" t="inlineStr">
        <is>
          <t>부산 사하구 농장</t>
        </is>
      </c>
      <c r="C241" t="inlineStr">
        <is>
          <t>딸기</t>
        </is>
      </c>
      <c r="D241" t="inlineStr">
        <is>
          <t>8. 재료비</t>
        </is>
      </c>
      <c r="E241" t="inlineStr">
        <is>
          <t>월 모종비</t>
        </is>
      </c>
      <c r="F241" s="9" t="n">
        <v>6378750</v>
      </c>
      <c r="G241" t="inlineStr">
        <is>
          <t>원</t>
        </is>
      </c>
    </row>
    <row r="242">
      <c r="A242" t="inlineStr">
        <is>
          <t>S003-딸기</t>
        </is>
      </c>
      <c r="B242" t="inlineStr">
        <is>
          <t>부산 사하구 농장</t>
        </is>
      </c>
      <c r="C242" t="inlineStr">
        <is>
          <t>딸기</t>
        </is>
      </c>
      <c r="D242" t="inlineStr">
        <is>
          <t>8. 재료비</t>
        </is>
      </c>
      <c r="E242" t="inlineStr">
        <is>
          <t>월 기타 재료비</t>
        </is>
      </c>
      <c r="F242" s="9" t="n">
        <v>300000</v>
      </c>
      <c r="G242" t="inlineStr">
        <is>
          <t>원</t>
        </is>
      </c>
    </row>
    <row r="243">
      <c r="A243" t="inlineStr">
        <is>
          <t>S003-딸기</t>
        </is>
      </c>
      <c r="B243" t="inlineStr">
        <is>
          <t>부산 사하구 농장</t>
        </is>
      </c>
      <c r="C243" t="inlineStr">
        <is>
          <t>딸기</t>
        </is>
      </c>
      <c r="D243" t="inlineStr">
        <is>
          <t>8. 재료비</t>
        </is>
      </c>
      <c r="E243" t="inlineStr">
        <is>
          <t>월 재료비</t>
        </is>
      </c>
      <c r="F243" s="9" t="n">
        <v>6678750</v>
      </c>
      <c r="G243" t="inlineStr">
        <is>
          <t>원</t>
        </is>
      </c>
    </row>
    <row r="244">
      <c r="A244" t="inlineStr">
        <is>
          <t>S003-딸기</t>
        </is>
      </c>
      <c r="B244" t="inlineStr">
        <is>
          <t>부산 사하구 농장</t>
        </is>
      </c>
      <c r="C244" t="inlineStr">
        <is>
          <t>딸기</t>
        </is>
      </c>
      <c r="D244" t="inlineStr">
        <is>
          <t>9. 인건비</t>
        </is>
      </c>
      <c r="E244" t="inlineStr">
        <is>
          <t>월 노동시간</t>
        </is>
      </c>
      <c r="F244" s="8" t="n">
        <v>878.85</v>
      </c>
      <c r="G244" t="inlineStr">
        <is>
          <t>시간</t>
        </is>
      </c>
    </row>
    <row r="245">
      <c r="A245" t="inlineStr">
        <is>
          <t>S003-딸기</t>
        </is>
      </c>
      <c r="B245" t="inlineStr">
        <is>
          <t>부산 사하구 농장</t>
        </is>
      </c>
      <c r="C245" t="inlineStr">
        <is>
          <t>딸기</t>
        </is>
      </c>
      <c r="D245" t="inlineStr">
        <is>
          <t>9. 인건비</t>
        </is>
      </c>
      <c r="E245" t="inlineStr">
        <is>
          <t>월 인건비</t>
        </is>
      </c>
      <c r="F245" s="9" t="n">
        <v>9069732</v>
      </c>
      <c r="G245" t="inlineStr">
        <is>
          <t>원</t>
        </is>
      </c>
    </row>
    <row r="246">
      <c r="A246" t="inlineStr">
        <is>
          <t>S003-딸기</t>
        </is>
      </c>
      <c r="B246" t="inlineStr">
        <is>
          <t>부산 사하구 농장</t>
        </is>
      </c>
      <c r="C246" t="inlineStr">
        <is>
          <t>딸기</t>
        </is>
      </c>
      <c r="D246" t="inlineStr">
        <is>
          <t>10. 수익</t>
        </is>
      </c>
      <c r="E246" t="inlineStr">
        <is>
          <t>월 운영비</t>
        </is>
      </c>
      <c r="F246" s="9" t="n">
        <v>26628754.7698629</v>
      </c>
      <c r="G246" t="inlineStr">
        <is>
          <t>원</t>
        </is>
      </c>
    </row>
    <row r="247">
      <c r="A247" t="inlineStr">
        <is>
          <t>S003-딸기</t>
        </is>
      </c>
      <c r="B247" t="inlineStr">
        <is>
          <t>부산 사하구 농장</t>
        </is>
      </c>
      <c r="C247" t="inlineStr">
        <is>
          <t>딸기</t>
        </is>
      </c>
      <c r="D247" t="inlineStr">
        <is>
          <t>10. 수익</t>
        </is>
      </c>
      <c r="E247" t="inlineStr">
        <is>
          <t>월 영업이익</t>
        </is>
      </c>
      <c r="F247" s="9" t="n">
        <v>20829145.2301371</v>
      </c>
      <c r="G247" t="inlineStr">
        <is>
          <t>원</t>
        </is>
      </c>
    </row>
    <row r="248">
      <c r="A248" t="inlineStr">
        <is>
          <t>S003-딸기</t>
        </is>
      </c>
      <c r="B248" t="inlineStr">
        <is>
          <t>부산 사하구 농장</t>
        </is>
      </c>
      <c r="C248" t="inlineStr">
        <is>
          <t>딸기</t>
        </is>
      </c>
      <c r="D248" t="inlineStr">
        <is>
          <t>10. 수익</t>
        </is>
      </c>
      <c r="E248" t="inlineStr">
        <is>
          <t>공간 대여자 예상수익</t>
        </is>
      </c>
      <c r="F248" s="9" t="n">
        <v>16663316.18410968</v>
      </c>
      <c r="G248" t="inlineStr">
        <is>
          <t>원</t>
        </is>
      </c>
    </row>
    <row r="249">
      <c r="A249" t="inlineStr">
        <is>
          <t>S003-딸기</t>
        </is>
      </c>
      <c r="B249" t="inlineStr">
        <is>
          <t>부산 사하구 농장</t>
        </is>
      </c>
      <c r="C249" t="inlineStr">
        <is>
          <t>딸기</t>
        </is>
      </c>
      <c r="D249" t="inlineStr">
        <is>
          <t>10. 수익</t>
        </is>
      </c>
      <c r="E249" t="inlineStr">
        <is>
          <t>원하는 월세</t>
        </is>
      </c>
      <c r="F249" s="9" t="n">
        <v>3500000</v>
      </c>
      <c r="G249" t="inlineStr">
        <is>
          <t>원</t>
        </is>
      </c>
    </row>
    <row r="250">
      <c r="A250" t="inlineStr">
        <is>
          <t>S003-딸기</t>
        </is>
      </c>
      <c r="B250" t="inlineStr">
        <is>
          <t>부산 사하구 농장</t>
        </is>
      </c>
      <c r="C250" t="inlineStr">
        <is>
          <t>딸기</t>
        </is>
      </c>
      <c r="D250" t="inlineStr">
        <is>
          <t>10. 수익</t>
        </is>
      </c>
      <c r="E250" t="inlineStr">
        <is>
          <t>공실 월세 대비 차이</t>
        </is>
      </c>
      <c r="F250" s="9" t="n">
        <v>13163316.18410968</v>
      </c>
      <c r="G250" t="inlineStr">
        <is>
          <t>원</t>
        </is>
      </c>
    </row>
    <row r="251">
      <c r="A251" t="inlineStr">
        <is>
          <t>S003-딸기</t>
        </is>
      </c>
      <c r="B251" t="inlineStr">
        <is>
          <t>부산 사하구 농장</t>
        </is>
      </c>
      <c r="C251" t="inlineStr">
        <is>
          <t>딸기</t>
        </is>
      </c>
      <c r="D251" t="inlineStr">
        <is>
          <t>10. 수익</t>
        </is>
      </c>
      <c r="E251" t="inlineStr">
        <is>
          <t>사업장 영업이익</t>
        </is>
      </c>
      <c r="F251" s="9" t="n">
        <v>4165829.04602742</v>
      </c>
      <c r="G251" t="inlineStr">
        <is>
          <t>원</t>
        </is>
      </c>
    </row>
    <row r="252">
      <c r="A252" t="inlineStr">
        <is>
          <t>S003-바질</t>
        </is>
      </c>
      <c r="B252" t="inlineStr">
        <is>
          <t>부산 사하구 농장</t>
        </is>
      </c>
      <c r="C252" t="inlineStr">
        <is>
          <t>바질</t>
        </is>
      </c>
      <c r="D252" t="inlineStr">
        <is>
          <t>1. 공간</t>
        </is>
      </c>
      <c r="E252" t="inlineStr">
        <is>
          <t>공실 전체면적</t>
        </is>
      </c>
      <c r="F252" s="8" t="n">
        <v>324</v>
      </c>
      <c r="G252" t="inlineStr">
        <is>
          <t>m²</t>
        </is>
      </c>
    </row>
    <row r="253">
      <c r="A253" t="inlineStr">
        <is>
          <t>S003-바질</t>
        </is>
      </c>
      <c r="B253" t="inlineStr">
        <is>
          <t>부산 사하구 농장</t>
        </is>
      </c>
      <c r="C253" t="inlineStr">
        <is>
          <t>바질</t>
        </is>
      </c>
      <c r="D253" t="inlineStr">
        <is>
          <t>1. 공간</t>
        </is>
      </c>
      <c r="E253" t="inlineStr">
        <is>
          <t>사용가능 바닥면적</t>
        </is>
      </c>
      <c r="F253" s="8" t="n">
        <v>226.8</v>
      </c>
      <c r="G253" t="inlineStr">
        <is>
          <t>m²</t>
        </is>
      </c>
    </row>
    <row r="254">
      <c r="A254" t="inlineStr">
        <is>
          <t>S003-바질</t>
        </is>
      </c>
      <c r="B254" t="inlineStr">
        <is>
          <t>부산 사하구 농장</t>
        </is>
      </c>
      <c r="C254" t="inlineStr">
        <is>
          <t>바질</t>
        </is>
      </c>
      <c r="D254" t="inlineStr">
        <is>
          <t>1. 공간</t>
        </is>
      </c>
      <c r="E254" t="inlineStr">
        <is>
          <t>재배면적</t>
        </is>
      </c>
      <c r="F254" s="8" t="n">
        <v>1134</v>
      </c>
      <c r="G254" t="inlineStr">
        <is>
          <t>m²</t>
        </is>
      </c>
    </row>
    <row r="255">
      <c r="A255" t="inlineStr">
        <is>
          <t>S003-바질</t>
        </is>
      </c>
      <c r="B255" t="inlineStr">
        <is>
          <t>부산 사하구 농장</t>
        </is>
      </c>
      <c r="C255" t="inlineStr">
        <is>
          <t>바질</t>
        </is>
      </c>
      <c r="D255" t="inlineStr">
        <is>
          <t>1. 공간</t>
        </is>
      </c>
      <c r="E255" t="inlineStr">
        <is>
          <t>공간 체적</t>
        </is>
      </c>
      <c r="F255" s="8" t="n">
        <v>810</v>
      </c>
      <c r="G255" t="inlineStr">
        <is>
          <t>m³</t>
        </is>
      </c>
    </row>
    <row r="256">
      <c r="A256" t="inlineStr">
        <is>
          <t>S003-바질</t>
        </is>
      </c>
      <c r="B256" t="inlineStr">
        <is>
          <t>부산 사하구 농장</t>
        </is>
      </c>
      <c r="C256" t="inlineStr">
        <is>
          <t>바질</t>
        </is>
      </c>
      <c r="D256" t="inlineStr">
        <is>
          <t>2. 생산</t>
        </is>
      </c>
      <c r="E256" t="inlineStr">
        <is>
          <t>월 총생산량</t>
        </is>
      </c>
      <c r="F256" s="8" t="n">
        <v>2721.6</v>
      </c>
      <c r="G256" t="inlineStr">
        <is>
          <t>kg</t>
        </is>
      </c>
    </row>
    <row r="257">
      <c r="A257" t="inlineStr">
        <is>
          <t>S003-바질</t>
        </is>
      </c>
      <c r="B257" t="inlineStr">
        <is>
          <t>부산 사하구 농장</t>
        </is>
      </c>
      <c r="C257" t="inlineStr">
        <is>
          <t>바질</t>
        </is>
      </c>
      <c r="D257" t="inlineStr">
        <is>
          <t>2. 생산</t>
        </is>
      </c>
      <c r="E257" t="inlineStr">
        <is>
          <t>월 판매량</t>
        </is>
      </c>
      <c r="F257" s="8" t="n">
        <v>2449.440000000001</v>
      </c>
      <c r="G257" t="inlineStr">
        <is>
          <t>kg</t>
        </is>
      </c>
    </row>
    <row r="258">
      <c r="A258" t="inlineStr">
        <is>
          <t>S003-바질</t>
        </is>
      </c>
      <c r="B258" t="inlineStr">
        <is>
          <t>부산 사하구 농장</t>
        </is>
      </c>
      <c r="C258" t="inlineStr">
        <is>
          <t>바질</t>
        </is>
      </c>
      <c r="D258" t="inlineStr">
        <is>
          <t>3. 매출</t>
        </is>
      </c>
      <c r="E258" t="inlineStr">
        <is>
          <t>판매가격</t>
        </is>
      </c>
      <c r="F258" s="9" t="n">
        <v>20000</v>
      </c>
      <c r="G258" t="inlineStr">
        <is>
          <t>원/kg</t>
        </is>
      </c>
    </row>
    <row r="259">
      <c r="A259" t="inlineStr">
        <is>
          <t>S003-바질</t>
        </is>
      </c>
      <c r="B259" t="inlineStr">
        <is>
          <t>부산 사하구 농장</t>
        </is>
      </c>
      <c r="C259" t="inlineStr">
        <is>
          <t>바질</t>
        </is>
      </c>
      <c r="D259" t="inlineStr">
        <is>
          <t>3. 매출</t>
        </is>
      </c>
      <c r="E259" t="inlineStr">
        <is>
          <t>월 매출</t>
        </is>
      </c>
      <c r="F259" s="9" t="n">
        <v>48988800.00000001</v>
      </c>
      <c r="G259" t="inlineStr">
        <is>
          <t>원</t>
        </is>
      </c>
    </row>
    <row r="260">
      <c r="A260" t="inlineStr">
        <is>
          <t>S003-바질</t>
        </is>
      </c>
      <c r="B260" t="inlineStr">
        <is>
          <t>부산 사하구 농장</t>
        </is>
      </c>
      <c r="C260" t="inlineStr">
        <is>
          <t>바질</t>
        </is>
      </c>
      <c r="D260" t="inlineStr">
        <is>
          <t>4. 조명·냉난방</t>
        </is>
      </c>
      <c r="E260" t="inlineStr">
        <is>
          <t>필요 조명전력</t>
        </is>
      </c>
      <c r="F260" s="8" t="n">
        <v>101250</v>
      </c>
      <c r="G260" t="inlineStr">
        <is>
          <t>W</t>
        </is>
      </c>
    </row>
    <row r="261">
      <c r="A261" t="inlineStr">
        <is>
          <t>S003-바질</t>
        </is>
      </c>
      <c r="B261" t="inlineStr">
        <is>
          <t>부산 사하구 농장</t>
        </is>
      </c>
      <c r="C261" t="inlineStr">
        <is>
          <t>바질</t>
        </is>
      </c>
      <c r="D261" t="inlineStr">
        <is>
          <t>4. 조명·냉난방</t>
        </is>
      </c>
      <c r="E261" t="inlineStr">
        <is>
          <t>월 조명전력량</t>
        </is>
      </c>
      <c r="F261" s="8" t="n">
        <v>49275</v>
      </c>
      <c r="G261" t="inlineStr">
        <is>
          <t>kWh</t>
        </is>
      </c>
    </row>
    <row r="262">
      <c r="A262" t="inlineStr">
        <is>
          <t>S003-바질</t>
        </is>
      </c>
      <c r="B262" t="inlineStr">
        <is>
          <t>부산 사하구 농장</t>
        </is>
      </c>
      <c r="C262" t="inlineStr">
        <is>
          <t>바질</t>
        </is>
      </c>
      <c r="D262" t="inlineStr">
        <is>
          <t>5. 습도</t>
        </is>
      </c>
      <c r="E262" t="inlineStr">
        <is>
          <t>월 증발산량</t>
        </is>
      </c>
      <c r="F262" s="8" t="n">
        <v>37941.75000000001</v>
      </c>
      <c r="G262" t="inlineStr">
        <is>
          <t>kg</t>
        </is>
      </c>
    </row>
    <row r="263">
      <c r="A263" t="inlineStr">
        <is>
          <t>S003-바질</t>
        </is>
      </c>
      <c r="B263" t="inlineStr">
        <is>
          <t>부산 사하구 농장</t>
        </is>
      </c>
      <c r="C263" t="inlineStr">
        <is>
          <t>바질</t>
        </is>
      </c>
      <c r="D263" t="inlineStr">
        <is>
          <t>6. 전기비</t>
        </is>
      </c>
      <c r="E263" t="inlineStr">
        <is>
          <t>월평균 총 전력량</t>
        </is>
      </c>
      <c r="F263" s="8" t="n">
        <v>72222.75241966658</v>
      </c>
      <c r="G263" t="inlineStr">
        <is>
          <t>kWh</t>
        </is>
      </c>
    </row>
    <row r="264">
      <c r="A264" t="inlineStr">
        <is>
          <t>S003-바질</t>
        </is>
      </c>
      <c r="B264" t="inlineStr">
        <is>
          <t>부산 사하구 농장</t>
        </is>
      </c>
      <c r="C264" t="inlineStr">
        <is>
          <t>바질</t>
        </is>
      </c>
      <c r="D264" t="inlineStr">
        <is>
          <t>6. 전기비</t>
        </is>
      </c>
      <c r="E264" t="inlineStr">
        <is>
          <t>월 전기비</t>
        </is>
      </c>
      <c r="F264" s="9" t="n">
        <v>11194526.62504832</v>
      </c>
      <c r="G264" t="inlineStr">
        <is>
          <t>원</t>
        </is>
      </c>
    </row>
    <row r="265">
      <c r="A265" t="inlineStr">
        <is>
          <t>S003-바질</t>
        </is>
      </c>
      <c r="B265" t="inlineStr">
        <is>
          <t>부산 사하구 농장</t>
        </is>
      </c>
      <c r="C265" t="inlineStr">
        <is>
          <t>바질</t>
        </is>
      </c>
      <c r="D265" t="inlineStr">
        <is>
          <t>7. 수도비</t>
        </is>
      </c>
      <c r="E265" t="inlineStr">
        <is>
          <t>배액률</t>
        </is>
      </c>
      <c r="F265" s="10" t="n">
        <v>0.3</v>
      </c>
      <c r="G265" t="inlineStr">
        <is>
          <t>%</t>
        </is>
      </c>
    </row>
    <row r="266">
      <c r="A266" t="inlineStr">
        <is>
          <t>S003-바질</t>
        </is>
      </c>
      <c r="B266" t="inlineStr">
        <is>
          <t>부산 사하구 농장</t>
        </is>
      </c>
      <c r="C266" t="inlineStr">
        <is>
          <t>바질</t>
        </is>
      </c>
      <c r="D266" t="inlineStr">
        <is>
          <t>7. 수도비</t>
        </is>
      </c>
      <c r="E266" t="inlineStr">
        <is>
          <t>월 작물 순소비량</t>
        </is>
      </c>
      <c r="F266" s="8" t="n">
        <v>37.94175000000001</v>
      </c>
      <c r="G266" t="inlineStr">
        <is>
          <t>m³</t>
        </is>
      </c>
    </row>
    <row r="267">
      <c r="A267" t="inlineStr">
        <is>
          <t>S003-바질</t>
        </is>
      </c>
      <c r="B267" t="inlineStr">
        <is>
          <t>부산 사하구 농장</t>
        </is>
      </c>
      <c r="C267" t="inlineStr">
        <is>
          <t>바질</t>
        </is>
      </c>
      <c r="D267" t="inlineStr">
        <is>
          <t>7. 수도비</t>
        </is>
      </c>
      <c r="E267" t="inlineStr">
        <is>
          <t>월 배액량</t>
        </is>
      </c>
      <c r="F267" s="8" t="n">
        <v>16.26075000000001</v>
      </c>
      <c r="G267" t="inlineStr">
        <is>
          <t>m³</t>
        </is>
      </c>
    </row>
    <row r="268">
      <c r="A268" t="inlineStr">
        <is>
          <t>S003-바질</t>
        </is>
      </c>
      <c r="B268" t="inlineStr">
        <is>
          <t>부산 사하구 농장</t>
        </is>
      </c>
      <c r="C268" t="inlineStr">
        <is>
          <t>바질</t>
        </is>
      </c>
      <c r="D268" t="inlineStr">
        <is>
          <t>7. 수도비</t>
        </is>
      </c>
      <c r="E268" t="inlineStr">
        <is>
          <t>월 작물 관수량</t>
        </is>
      </c>
      <c r="F268" s="8" t="n">
        <v>54.20250000000001</v>
      </c>
      <c r="G268" t="inlineStr">
        <is>
          <t>m³</t>
        </is>
      </c>
    </row>
    <row r="269">
      <c r="A269" t="inlineStr">
        <is>
          <t>S003-바질</t>
        </is>
      </c>
      <c r="B269" t="inlineStr">
        <is>
          <t>부산 사하구 농장</t>
        </is>
      </c>
      <c r="C269" t="inlineStr">
        <is>
          <t>바질</t>
        </is>
      </c>
      <c r="D269" t="inlineStr">
        <is>
          <t>7. 수도비</t>
        </is>
      </c>
      <c r="E269" t="inlineStr">
        <is>
          <t>월 기타 용수량</t>
        </is>
      </c>
      <c r="F269" s="8" t="n">
        <v>1.971</v>
      </c>
      <c r="G269" t="inlineStr">
        <is>
          <t>m³</t>
        </is>
      </c>
    </row>
    <row r="270">
      <c r="A270" t="inlineStr">
        <is>
          <t>S003-바질</t>
        </is>
      </c>
      <c r="B270" t="inlineStr">
        <is>
          <t>부산 사하구 농장</t>
        </is>
      </c>
      <c r="C270" t="inlineStr">
        <is>
          <t>바질</t>
        </is>
      </c>
      <c r="D270" t="inlineStr">
        <is>
          <t>7. 수도비</t>
        </is>
      </c>
      <c r="E270" t="inlineStr">
        <is>
          <t>월 총 용수량</t>
        </is>
      </c>
      <c r="F270" s="8" t="n">
        <v>56.17350000000001</v>
      </c>
      <c r="G270" t="inlineStr">
        <is>
          <t>m³</t>
        </is>
      </c>
    </row>
    <row r="271">
      <c r="A271" t="inlineStr">
        <is>
          <t>S003-바질</t>
        </is>
      </c>
      <c r="B271" t="inlineStr">
        <is>
          <t>부산 사하구 농장</t>
        </is>
      </c>
      <c r="C271" t="inlineStr">
        <is>
          <t>바질</t>
        </is>
      </c>
      <c r="D271" t="inlineStr">
        <is>
          <t>7. 수도비</t>
        </is>
      </c>
      <c r="E271" t="inlineStr">
        <is>
          <t>월 수도비</t>
        </is>
      </c>
      <c r="F271" s="9" t="n">
        <v>129199.05</v>
      </c>
      <c r="G271" t="inlineStr">
        <is>
          <t>원</t>
        </is>
      </c>
    </row>
    <row r="272">
      <c r="A272" t="inlineStr">
        <is>
          <t>S003-바질</t>
        </is>
      </c>
      <c r="B272" t="inlineStr">
        <is>
          <t>부산 사하구 농장</t>
        </is>
      </c>
      <c r="C272" t="inlineStr">
        <is>
          <t>바질</t>
        </is>
      </c>
      <c r="D272" t="inlineStr">
        <is>
          <t>8. 재료비</t>
        </is>
      </c>
      <c r="E272" t="inlineStr">
        <is>
          <t>월 모종비</t>
        </is>
      </c>
      <c r="F272" s="9" t="n">
        <v>13608000</v>
      </c>
      <c r="G272" t="inlineStr">
        <is>
          <t>원</t>
        </is>
      </c>
    </row>
    <row r="273">
      <c r="A273" t="inlineStr">
        <is>
          <t>S003-바질</t>
        </is>
      </c>
      <c r="B273" t="inlineStr">
        <is>
          <t>부산 사하구 농장</t>
        </is>
      </c>
      <c r="C273" t="inlineStr">
        <is>
          <t>바질</t>
        </is>
      </c>
      <c r="D273" t="inlineStr">
        <is>
          <t>8. 재료비</t>
        </is>
      </c>
      <c r="E273" t="inlineStr">
        <is>
          <t>월 기타 재료비</t>
        </is>
      </c>
      <c r="F273" s="9" t="n">
        <v>300000</v>
      </c>
      <c r="G273" t="inlineStr">
        <is>
          <t>원</t>
        </is>
      </c>
    </row>
    <row r="274">
      <c r="A274" t="inlineStr">
        <is>
          <t>S003-바질</t>
        </is>
      </c>
      <c r="B274" t="inlineStr">
        <is>
          <t>부산 사하구 농장</t>
        </is>
      </c>
      <c r="C274" t="inlineStr">
        <is>
          <t>바질</t>
        </is>
      </c>
      <c r="D274" t="inlineStr">
        <is>
          <t>8. 재료비</t>
        </is>
      </c>
      <c r="E274" t="inlineStr">
        <is>
          <t>월 재료비</t>
        </is>
      </c>
      <c r="F274" s="9" t="n">
        <v>13908000</v>
      </c>
      <c r="G274" t="inlineStr">
        <is>
          <t>원</t>
        </is>
      </c>
    </row>
    <row r="275">
      <c r="A275" t="inlineStr">
        <is>
          <t>S003-바질</t>
        </is>
      </c>
      <c r="B275" t="inlineStr">
        <is>
          <t>부산 사하구 농장</t>
        </is>
      </c>
      <c r="C275" t="inlineStr">
        <is>
          <t>바질</t>
        </is>
      </c>
      <c r="D275" t="inlineStr">
        <is>
          <t>9. 인건비</t>
        </is>
      </c>
      <c r="E275" t="inlineStr">
        <is>
          <t>월 노동시간</t>
        </is>
      </c>
      <c r="F275" s="8" t="n">
        <v>1360.8</v>
      </c>
      <c r="G275" t="inlineStr">
        <is>
          <t>시간</t>
        </is>
      </c>
    </row>
    <row r="276">
      <c r="A276" t="inlineStr">
        <is>
          <t>S003-바질</t>
        </is>
      </c>
      <c r="B276" t="inlineStr">
        <is>
          <t>부산 사하구 농장</t>
        </is>
      </c>
      <c r="C276" t="inlineStr">
        <is>
          <t>바질</t>
        </is>
      </c>
      <c r="D276" t="inlineStr">
        <is>
          <t>9. 인건비</t>
        </is>
      </c>
      <c r="E276" t="inlineStr">
        <is>
          <t>월 인건비</t>
        </is>
      </c>
      <c r="F276" s="9" t="n">
        <v>14043456</v>
      </c>
      <c r="G276" t="inlineStr">
        <is>
          <t>원</t>
        </is>
      </c>
    </row>
    <row r="277">
      <c r="A277" t="inlineStr">
        <is>
          <t>S003-바질</t>
        </is>
      </c>
      <c r="B277" t="inlineStr">
        <is>
          <t>부산 사하구 농장</t>
        </is>
      </c>
      <c r="C277" t="inlineStr">
        <is>
          <t>바질</t>
        </is>
      </c>
      <c r="D277" t="inlineStr">
        <is>
          <t>10. 수익</t>
        </is>
      </c>
      <c r="E277" t="inlineStr">
        <is>
          <t>월 운영비</t>
        </is>
      </c>
      <c r="F277" s="9" t="n">
        <v>39375181.67504832</v>
      </c>
      <c r="G277" t="inlineStr">
        <is>
          <t>원</t>
        </is>
      </c>
    </row>
    <row r="278">
      <c r="A278" t="inlineStr">
        <is>
          <t>S003-바질</t>
        </is>
      </c>
      <c r="B278" t="inlineStr">
        <is>
          <t>부산 사하구 농장</t>
        </is>
      </c>
      <c r="C278" t="inlineStr">
        <is>
          <t>바질</t>
        </is>
      </c>
      <c r="D278" t="inlineStr">
        <is>
          <t>10. 수익</t>
        </is>
      </c>
      <c r="E278" t="inlineStr">
        <is>
          <t>월 영업이익</t>
        </is>
      </c>
      <c r="F278" s="9" t="n">
        <v>9613618.324951686</v>
      </c>
      <c r="G278" t="inlineStr">
        <is>
          <t>원</t>
        </is>
      </c>
    </row>
    <row r="279">
      <c r="A279" t="inlineStr">
        <is>
          <t>S003-바질</t>
        </is>
      </c>
      <c r="B279" t="inlineStr">
        <is>
          <t>부산 사하구 농장</t>
        </is>
      </c>
      <c r="C279" t="inlineStr">
        <is>
          <t>바질</t>
        </is>
      </c>
      <c r="D279" t="inlineStr">
        <is>
          <t>10. 수익</t>
        </is>
      </c>
      <c r="E279" t="inlineStr">
        <is>
          <t>공간 대여자 예상수익</t>
        </is>
      </c>
      <c r="F279" s="9" t="n">
        <v>7690894.659961349</v>
      </c>
      <c r="G279" t="inlineStr">
        <is>
          <t>원</t>
        </is>
      </c>
    </row>
    <row r="280">
      <c r="A280" t="inlineStr">
        <is>
          <t>S003-바질</t>
        </is>
      </c>
      <c r="B280" t="inlineStr">
        <is>
          <t>부산 사하구 농장</t>
        </is>
      </c>
      <c r="C280" t="inlineStr">
        <is>
          <t>바질</t>
        </is>
      </c>
      <c r="D280" t="inlineStr">
        <is>
          <t>10. 수익</t>
        </is>
      </c>
      <c r="E280" t="inlineStr">
        <is>
          <t>원하는 월세</t>
        </is>
      </c>
      <c r="F280" s="9" t="n">
        <v>3500000</v>
      </c>
      <c r="G280" t="inlineStr">
        <is>
          <t>원</t>
        </is>
      </c>
    </row>
    <row r="281">
      <c r="A281" t="inlineStr">
        <is>
          <t>S003-바질</t>
        </is>
      </c>
      <c r="B281" t="inlineStr">
        <is>
          <t>부산 사하구 농장</t>
        </is>
      </c>
      <c r="C281" t="inlineStr">
        <is>
          <t>바질</t>
        </is>
      </c>
      <c r="D281" t="inlineStr">
        <is>
          <t>10. 수익</t>
        </is>
      </c>
      <c r="E281" t="inlineStr">
        <is>
          <t>공실 월세 대비 차이</t>
        </is>
      </c>
      <c r="F281" s="9" t="n">
        <v>4190894.659961349</v>
      </c>
      <c r="G281" t="inlineStr">
        <is>
          <t>원</t>
        </is>
      </c>
    </row>
    <row r="282">
      <c r="A282" t="inlineStr">
        <is>
          <t>S003-바질</t>
        </is>
      </c>
      <c r="B282" t="inlineStr">
        <is>
          <t>부산 사하구 농장</t>
        </is>
      </c>
      <c r="C282" t="inlineStr">
        <is>
          <t>바질</t>
        </is>
      </c>
      <c r="D282" t="inlineStr">
        <is>
          <t>10. 수익</t>
        </is>
      </c>
      <c r="E282" t="inlineStr">
        <is>
          <t>사업장 영업이익</t>
        </is>
      </c>
      <c r="F282" s="9" t="n">
        <v>1922723.664990337</v>
      </c>
      <c r="G282" t="inlineStr">
        <is>
          <t>원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20" customWidth="1" min="12" max="12"/>
  </cols>
  <sheetData>
    <row r="1" ht="34" customHeight="1">
      <c r="A1" s="1" t="inlineStr">
        <is>
          <t>12개월 환경제어 전력량</t>
        </is>
      </c>
    </row>
    <row r="2"/>
    <row r="3" ht="34" customHeight="1">
      <c r="A3" s="3" t="inlineStr">
        <is>
          <t>시나리오ID</t>
        </is>
      </c>
      <c r="B3" s="3" t="inlineStr">
        <is>
          <t>사업장</t>
        </is>
      </c>
      <c r="C3" s="3" t="inlineStr">
        <is>
          <t>작물</t>
        </is>
      </c>
      <c r="D3" s="3" t="inlineStr">
        <is>
          <t>월</t>
        </is>
      </c>
      <c r="E3" s="3" t="inlineStr">
        <is>
          <t>외기온도(°C)</t>
        </is>
      </c>
      <c r="F3" s="3" t="inlineStr">
        <is>
          <t>외기상대습도</t>
        </is>
      </c>
      <c r="G3" s="3" t="inlineStr">
        <is>
          <t>조명(kWh)</t>
        </is>
      </c>
      <c r="H3" s="3" t="inlineStr">
        <is>
          <t>난방(kWh)</t>
        </is>
      </c>
      <c r="I3" s="3" t="inlineStr">
        <is>
          <t>냉방(kWh)</t>
        </is>
      </c>
      <c r="J3" s="3" t="inlineStr">
        <is>
          <t>제습(kWh)</t>
        </is>
      </c>
      <c r="K3" s="3" t="inlineStr">
        <is>
          <t>가습(kWh)</t>
        </is>
      </c>
      <c r="L3" s="3" t="inlineStr">
        <is>
          <t>총합(kWh)</t>
        </is>
      </c>
    </row>
    <row r="4">
      <c r="A4" t="inlineStr">
        <is>
          <t>S001-상추</t>
        </is>
      </c>
      <c r="B4" t="inlineStr">
        <is>
          <t>부산 금정구 농장</t>
        </is>
      </c>
      <c r="C4" t="inlineStr">
        <is>
          <t>상추</t>
        </is>
      </c>
      <c r="D4" t="inlineStr">
        <is>
          <t>1월</t>
        </is>
      </c>
      <c r="E4" s="11" t="n">
        <v>-2</v>
      </c>
      <c r="F4" s="12" t="n">
        <v>0.55</v>
      </c>
      <c r="G4" s="9" t="n">
        <v>12827.14285714286</v>
      </c>
      <c r="H4" s="9" t="n">
        <v>141.6243120426305</v>
      </c>
      <c r="I4" s="9" t="n">
        <v>3747.207878000504</v>
      </c>
      <c r="J4" s="9" t="n">
        <v>16202.01586538896</v>
      </c>
      <c r="K4" s="9" t="n">
        <v>0</v>
      </c>
      <c r="L4" s="9" t="n">
        <v>32917.99091257495</v>
      </c>
    </row>
    <row r="5">
      <c r="A5" t="inlineStr">
        <is>
          <t>S001-상추</t>
        </is>
      </c>
      <c r="B5" t="inlineStr">
        <is>
          <t>부산 금정구 농장</t>
        </is>
      </c>
      <c r="C5" t="inlineStr">
        <is>
          <t>상추</t>
        </is>
      </c>
      <c r="D5" t="inlineStr">
        <is>
          <t>2월</t>
        </is>
      </c>
      <c r="E5" s="11" t="n">
        <v>1</v>
      </c>
      <c r="F5" s="12" t="n">
        <v>0.52</v>
      </c>
      <c r="G5" s="9" t="n">
        <v>12827.14285714286</v>
      </c>
      <c r="H5" s="9" t="n">
        <v>122.3119058549991</v>
      </c>
      <c r="I5" s="9" t="n">
        <v>3790.124336195241</v>
      </c>
      <c r="J5" s="9" t="n">
        <v>16180.45473703717</v>
      </c>
      <c r="K5" s="9" t="n">
        <v>0</v>
      </c>
      <c r="L5" s="9" t="n">
        <v>32920.03383623026</v>
      </c>
    </row>
    <row r="6">
      <c r="A6" t="inlineStr">
        <is>
          <t>S001-상추</t>
        </is>
      </c>
      <c r="B6" t="inlineStr">
        <is>
          <t>부산 금정구 농장</t>
        </is>
      </c>
      <c r="C6" t="inlineStr">
        <is>
          <t>상추</t>
        </is>
      </c>
      <c r="D6" t="inlineStr">
        <is>
          <t>3월</t>
        </is>
      </c>
      <c r="E6" s="11" t="n">
        <v>7</v>
      </c>
      <c r="F6" s="12" t="n">
        <v>0.55</v>
      </c>
      <c r="G6" s="9" t="n">
        <v>12827.14285714286</v>
      </c>
      <c r="H6" s="9" t="n">
        <v>83.68709347973621</v>
      </c>
      <c r="I6" s="9" t="n">
        <v>3875.957252584714</v>
      </c>
      <c r="J6" s="9" t="n">
        <v>16152.3599523071</v>
      </c>
      <c r="K6" s="9" t="n">
        <v>0</v>
      </c>
      <c r="L6" s="9" t="n">
        <v>32939.14715551441</v>
      </c>
    </row>
    <row r="7">
      <c r="A7" t="inlineStr">
        <is>
          <t>S001-상추</t>
        </is>
      </c>
      <c r="B7" t="inlineStr">
        <is>
          <t>부산 금정구 농장</t>
        </is>
      </c>
      <c r="C7" t="inlineStr">
        <is>
          <t>상추</t>
        </is>
      </c>
      <c r="D7" t="inlineStr">
        <is>
          <t>4월</t>
        </is>
      </c>
      <c r="E7" s="11" t="n">
        <v>14</v>
      </c>
      <c r="F7" s="12" t="n">
        <v>0.58</v>
      </c>
      <c r="G7" s="9" t="n">
        <v>12827.14285714286</v>
      </c>
      <c r="H7" s="9" t="n">
        <v>38.62481237526286</v>
      </c>
      <c r="I7" s="9" t="n">
        <v>3976.095655039099</v>
      </c>
      <c r="J7" s="9" t="n">
        <v>16136.58550937367</v>
      </c>
      <c r="K7" s="9" t="n">
        <v>0</v>
      </c>
      <c r="L7" s="9" t="n">
        <v>32978.4488339309</v>
      </c>
    </row>
    <row r="8">
      <c r="A8" t="inlineStr">
        <is>
          <t>S001-상추</t>
        </is>
      </c>
      <c r="B8" t="inlineStr">
        <is>
          <t>부산 금정구 농장</t>
        </is>
      </c>
      <c r="C8" t="inlineStr">
        <is>
          <t>상추</t>
        </is>
      </c>
      <c r="D8" t="inlineStr">
        <is>
          <t>5월</t>
        </is>
      </c>
      <c r="E8" s="11" t="n">
        <v>19</v>
      </c>
      <c r="F8" s="12" t="n">
        <v>0.65</v>
      </c>
      <c r="G8" s="9" t="n">
        <v>12827.14285714286</v>
      </c>
      <c r="H8" s="9" t="n">
        <v>6.437468729210476</v>
      </c>
      <c r="I8" s="9" t="n">
        <v>4047.623085363659</v>
      </c>
      <c r="J8" s="9" t="n">
        <v>16156.34753979983</v>
      </c>
      <c r="K8" s="9" t="n">
        <v>0</v>
      </c>
      <c r="L8" s="9" t="n">
        <v>33037.55095103556</v>
      </c>
    </row>
    <row r="9">
      <c r="A9" t="inlineStr">
        <is>
          <t>S001-상추</t>
        </is>
      </c>
      <c r="B9" t="inlineStr">
        <is>
          <t>부산 금정구 농장</t>
        </is>
      </c>
      <c r="C9" t="inlineStr">
        <is>
          <t>상추</t>
        </is>
      </c>
      <c r="D9" t="inlineStr">
        <is>
          <t>6월</t>
        </is>
      </c>
      <c r="E9" s="11" t="n">
        <v>23</v>
      </c>
      <c r="F9" s="12" t="n">
        <v>0.72</v>
      </c>
      <c r="G9" s="9" t="n">
        <v>12827.14285714286</v>
      </c>
      <c r="H9" s="9" t="n">
        <v>0</v>
      </c>
      <c r="I9" s="9" t="n">
        <v>4130.59490454015</v>
      </c>
      <c r="J9" s="9" t="n">
        <v>16178.42144569657</v>
      </c>
      <c r="K9" s="9" t="n">
        <v>0</v>
      </c>
      <c r="L9" s="9" t="n">
        <v>33136.15920737958</v>
      </c>
    </row>
    <row r="10">
      <c r="A10" t="inlineStr">
        <is>
          <t>S001-상추</t>
        </is>
      </c>
      <c r="B10" t="inlineStr">
        <is>
          <t>부산 금정구 농장</t>
        </is>
      </c>
      <c r="C10" t="inlineStr">
        <is>
          <t>상추</t>
        </is>
      </c>
      <c r="D10" t="inlineStr">
        <is>
          <t>7월</t>
        </is>
      </c>
      <c r="E10" s="11" t="n">
        <v>26</v>
      </c>
      <c r="F10" s="12" t="n">
        <v>0.78</v>
      </c>
      <c r="G10" s="9" t="n">
        <v>12827.14285714286</v>
      </c>
      <c r="H10" s="9" t="n">
        <v>0</v>
      </c>
      <c r="I10" s="9" t="n">
        <v>4199.261237651729</v>
      </c>
      <c r="J10" s="9" t="n">
        <v>16209.90871044582</v>
      </c>
      <c r="K10" s="9" t="n">
        <v>0</v>
      </c>
      <c r="L10" s="9" t="n">
        <v>33236.31280524041</v>
      </c>
    </row>
    <row r="11">
      <c r="A11" t="inlineStr">
        <is>
          <t>S001-상추</t>
        </is>
      </c>
      <c r="B11" t="inlineStr">
        <is>
          <t>부산 금정구 농장</t>
        </is>
      </c>
      <c r="C11" t="inlineStr">
        <is>
          <t>상추</t>
        </is>
      </c>
      <c r="D11" t="inlineStr">
        <is>
          <t>8월</t>
        </is>
      </c>
      <c r="E11" s="11" t="n">
        <v>27</v>
      </c>
      <c r="F11" s="12" t="n">
        <v>0.76</v>
      </c>
      <c r="G11" s="9" t="n">
        <v>12827.14285714286</v>
      </c>
      <c r="H11" s="9" t="n">
        <v>0</v>
      </c>
      <c r="I11" s="9" t="n">
        <v>4222.150015355588</v>
      </c>
      <c r="J11" s="9" t="n">
        <v>16204.71156923027</v>
      </c>
      <c r="K11" s="9" t="n">
        <v>0</v>
      </c>
      <c r="L11" s="9" t="n">
        <v>33254.00444172871</v>
      </c>
    </row>
    <row r="12">
      <c r="A12" t="inlineStr">
        <is>
          <t>S001-상추</t>
        </is>
      </c>
      <c r="B12" t="inlineStr">
        <is>
          <t>부산 금정구 농장</t>
        </is>
      </c>
      <c r="C12" t="inlineStr">
        <is>
          <t>상추</t>
        </is>
      </c>
      <c r="D12" t="inlineStr">
        <is>
          <t>9월</t>
        </is>
      </c>
      <c r="E12" s="11" t="n">
        <v>22</v>
      </c>
      <c r="F12" s="12" t="n">
        <v>0.7</v>
      </c>
      <c r="G12" s="9" t="n">
        <v>12827.14285714286</v>
      </c>
      <c r="H12" s="9" t="n">
        <v>0</v>
      </c>
      <c r="I12" s="9" t="n">
        <v>4107.706126836291</v>
      </c>
      <c r="J12" s="9" t="n">
        <v>16171.4204196772</v>
      </c>
      <c r="K12" s="9" t="n">
        <v>0</v>
      </c>
      <c r="L12" s="9" t="n">
        <v>33106.26940365636</v>
      </c>
    </row>
    <row r="13">
      <c r="A13" t="inlineStr">
        <is>
          <t>S001-상추</t>
        </is>
      </c>
      <c r="B13" t="inlineStr">
        <is>
          <t>부산 금정구 농장</t>
        </is>
      </c>
      <c r="C13" t="inlineStr">
        <is>
          <t>상추</t>
        </is>
      </c>
      <c r="D13" t="inlineStr">
        <is>
          <t>10월</t>
        </is>
      </c>
      <c r="E13" s="11" t="n">
        <v>15</v>
      </c>
      <c r="F13" s="12" t="n">
        <v>0.62</v>
      </c>
      <c r="G13" s="9" t="n">
        <v>12827.14285714286</v>
      </c>
      <c r="H13" s="9" t="n">
        <v>32.18734364605238</v>
      </c>
      <c r="I13" s="9" t="n">
        <v>3990.401141104011</v>
      </c>
      <c r="J13" s="9" t="n">
        <v>16145.00350961419</v>
      </c>
      <c r="K13" s="9" t="n">
        <v>0</v>
      </c>
      <c r="L13" s="9" t="n">
        <v>32994.73485150711</v>
      </c>
    </row>
    <row r="14">
      <c r="A14" t="inlineStr">
        <is>
          <t>S001-상추</t>
        </is>
      </c>
      <c r="B14" t="inlineStr">
        <is>
          <t>부산 금정구 농장</t>
        </is>
      </c>
      <c r="C14" t="inlineStr">
        <is>
          <t>상추</t>
        </is>
      </c>
      <c r="D14" t="inlineStr">
        <is>
          <t>11월</t>
        </is>
      </c>
      <c r="E14" s="11" t="n">
        <v>7</v>
      </c>
      <c r="F14" s="12" t="n">
        <v>0.58</v>
      </c>
      <c r="G14" s="9" t="n">
        <v>12827.14285714286</v>
      </c>
      <c r="H14" s="9" t="n">
        <v>83.68709347973621</v>
      </c>
      <c r="I14" s="9" t="n">
        <v>3875.957252584714</v>
      </c>
      <c r="J14" s="9" t="n">
        <v>16156.77460842353</v>
      </c>
      <c r="K14" s="9" t="n">
        <v>0</v>
      </c>
      <c r="L14" s="9" t="n">
        <v>32943.56181163083</v>
      </c>
    </row>
    <row r="15">
      <c r="A15" t="inlineStr">
        <is>
          <t>S001-상추</t>
        </is>
      </c>
      <c r="B15" t="inlineStr">
        <is>
          <t>부산 금정구 농장</t>
        </is>
      </c>
      <c r="C15" t="inlineStr">
        <is>
          <t>상추</t>
        </is>
      </c>
      <c r="D15" t="inlineStr">
        <is>
          <t>12월</t>
        </is>
      </c>
      <c r="E15" s="11" t="n">
        <v>0</v>
      </c>
      <c r="F15" s="12" t="n">
        <v>0.55</v>
      </c>
      <c r="G15" s="9" t="n">
        <v>12827.14285714286</v>
      </c>
      <c r="H15" s="9" t="n">
        <v>128.7493745842095</v>
      </c>
      <c r="I15" s="9" t="n">
        <v>3775.818850130328</v>
      </c>
      <c r="J15" s="9" t="n">
        <v>16189.4148802579</v>
      </c>
      <c r="K15" s="9" t="n">
        <v>0</v>
      </c>
      <c r="L15" s="9" t="n">
        <v>32921.1259621153</v>
      </c>
    </row>
    <row r="16">
      <c r="A16" t="inlineStr">
        <is>
          <t>S001-딸기</t>
        </is>
      </c>
      <c r="B16" t="inlineStr">
        <is>
          <t>부산 금정구 농장</t>
        </is>
      </c>
      <c r="C16" t="inlineStr">
        <is>
          <t>딸기</t>
        </is>
      </c>
      <c r="D16" t="inlineStr">
        <is>
          <t>1월</t>
        </is>
      </c>
      <c r="E16" s="11" t="n">
        <v>-2</v>
      </c>
      <c r="F16" s="12" t="n">
        <v>0.55</v>
      </c>
      <c r="G16" s="9" t="n">
        <v>17102.85714285714</v>
      </c>
      <c r="H16" s="9" t="n">
        <v>125.8882773712271</v>
      </c>
      <c r="I16" s="9" t="n">
        <v>5080.202688914823</v>
      </c>
      <c r="J16" s="9" t="n">
        <v>1456.272993531284</v>
      </c>
      <c r="K16" s="9" t="n">
        <v>0</v>
      </c>
      <c r="L16" s="9" t="n">
        <v>23765.22110267448</v>
      </c>
    </row>
    <row r="17">
      <c r="A17" t="inlineStr">
        <is>
          <t>S001-딸기</t>
        </is>
      </c>
      <c r="B17" t="inlineStr">
        <is>
          <t>부산 금정구 농장</t>
        </is>
      </c>
      <c r="C17" t="inlineStr">
        <is>
          <t>딸기</t>
        </is>
      </c>
      <c r="D17" t="inlineStr">
        <is>
          <t>2월</t>
        </is>
      </c>
      <c r="E17" s="11" t="n">
        <v>1</v>
      </c>
      <c r="F17" s="12" t="n">
        <v>0.52</v>
      </c>
      <c r="G17" s="9" t="n">
        <v>17102.85714285714</v>
      </c>
      <c r="H17" s="9" t="n">
        <v>108.7216940933325</v>
      </c>
      <c r="I17" s="9" t="n">
        <v>5125.980244322542</v>
      </c>
      <c r="J17" s="9" t="n">
        <v>1432.612840035343</v>
      </c>
      <c r="K17" s="9" t="n">
        <v>0</v>
      </c>
      <c r="L17" s="9" t="n">
        <v>23770.17192130836</v>
      </c>
    </row>
    <row r="18">
      <c r="A18" t="inlineStr">
        <is>
          <t>S001-딸기</t>
        </is>
      </c>
      <c r="B18" t="inlineStr">
        <is>
          <t>부산 금정구 농장</t>
        </is>
      </c>
      <c r="C18" t="inlineStr">
        <is>
          <t>딸기</t>
        </is>
      </c>
      <c r="D18" t="inlineStr">
        <is>
          <t>3월</t>
        </is>
      </c>
      <c r="E18" s="11" t="n">
        <v>7</v>
      </c>
      <c r="F18" s="12" t="n">
        <v>0.55</v>
      </c>
      <c r="G18" s="9" t="n">
        <v>17102.85714285714</v>
      </c>
      <c r="H18" s="9" t="n">
        <v>74.3885275375433</v>
      </c>
      <c r="I18" s="9" t="n">
        <v>5217.535355137979</v>
      </c>
      <c r="J18" s="9" t="n">
        <v>1400.32000501698</v>
      </c>
      <c r="K18" s="9" t="n">
        <v>0</v>
      </c>
      <c r="L18" s="9" t="n">
        <v>23795.10103054964</v>
      </c>
    </row>
    <row r="19">
      <c r="A19" t="inlineStr">
        <is>
          <t>S001-딸기</t>
        </is>
      </c>
      <c r="B19" t="inlineStr">
        <is>
          <t>부산 금정구 농장</t>
        </is>
      </c>
      <c r="C19" t="inlineStr">
        <is>
          <t>딸기</t>
        </is>
      </c>
      <c r="D19" t="inlineStr">
        <is>
          <t>4월</t>
        </is>
      </c>
      <c r="E19" s="11" t="n">
        <v>14</v>
      </c>
      <c r="F19" s="12" t="n">
        <v>0.58</v>
      </c>
      <c r="G19" s="9" t="n">
        <v>17102.85714285714</v>
      </c>
      <c r="H19" s="9" t="n">
        <v>34.33316655578921</v>
      </c>
      <c r="I19" s="9" t="n">
        <v>5324.349651089323</v>
      </c>
      <c r="J19" s="9" t="n">
        <v>1379.647836747213</v>
      </c>
      <c r="K19" s="9" t="n">
        <v>0</v>
      </c>
      <c r="L19" s="9" t="n">
        <v>23841.18779724947</v>
      </c>
    </row>
    <row r="20">
      <c r="A20" t="inlineStr">
        <is>
          <t>S001-딸기</t>
        </is>
      </c>
      <c r="B20" t="inlineStr">
        <is>
          <t>부산 금정구 농장</t>
        </is>
      </c>
      <c r="C20" t="inlineStr">
        <is>
          <t>딸기</t>
        </is>
      </c>
      <c r="D20" t="inlineStr">
        <is>
          <t>5월</t>
        </is>
      </c>
      <c r="E20" s="11" t="n">
        <v>19</v>
      </c>
      <c r="F20" s="12" t="n">
        <v>0.65</v>
      </c>
      <c r="G20" s="9" t="n">
        <v>17102.85714285714</v>
      </c>
      <c r="H20" s="9" t="n">
        <v>5.722194425964868</v>
      </c>
      <c r="I20" s="9" t="n">
        <v>5400.645576768855</v>
      </c>
      <c r="J20" s="9" t="n">
        <v>1395.911491933122</v>
      </c>
      <c r="K20" s="9" t="n">
        <v>0</v>
      </c>
      <c r="L20" s="9" t="n">
        <v>23905.13640598509</v>
      </c>
    </row>
    <row r="21">
      <c r="A21" t="inlineStr">
        <is>
          <t>S001-딸기</t>
        </is>
      </c>
      <c r="B21" t="inlineStr">
        <is>
          <t>부산 금정구 농장</t>
        </is>
      </c>
      <c r="C21" t="inlineStr">
        <is>
          <t>딸기</t>
        </is>
      </c>
      <c r="D21" t="inlineStr">
        <is>
          <t>6월</t>
        </is>
      </c>
      <c r="E21" s="11" t="n">
        <v>23</v>
      </c>
      <c r="F21" s="12" t="n">
        <v>0.72</v>
      </c>
      <c r="G21" s="9" t="n">
        <v>17102.85714285714</v>
      </c>
      <c r="H21" s="9" t="n">
        <v>0</v>
      </c>
      <c r="I21" s="9" t="n">
        <v>5484.57109501634</v>
      </c>
      <c r="J21" s="9" t="n">
        <v>1417.285722781809</v>
      </c>
      <c r="K21" s="9" t="n">
        <v>0</v>
      </c>
      <c r="L21" s="9" t="n">
        <v>24004.71396065529</v>
      </c>
    </row>
    <row r="22">
      <c r="A22" t="inlineStr">
        <is>
          <t>S001-딸기</t>
        </is>
      </c>
      <c r="B22" t="inlineStr">
        <is>
          <t>부산 금정구 농장</t>
        </is>
      </c>
      <c r="C22" t="inlineStr">
        <is>
          <t>딸기</t>
        </is>
      </c>
      <c r="D22" t="inlineStr">
        <is>
          <t>7월</t>
        </is>
      </c>
      <c r="E22" s="11" t="n">
        <v>26</v>
      </c>
      <c r="F22" s="12" t="n">
        <v>0.78</v>
      </c>
      <c r="G22" s="9" t="n">
        <v>17102.85714285714</v>
      </c>
      <c r="H22" s="9" t="n">
        <v>0</v>
      </c>
      <c r="I22" s="9" t="n">
        <v>5553.237428127919</v>
      </c>
      <c r="J22" s="9" t="n">
        <v>1448.772987531057</v>
      </c>
      <c r="K22" s="9" t="n">
        <v>0</v>
      </c>
      <c r="L22" s="9" t="n">
        <v>24104.86755851612</v>
      </c>
    </row>
    <row r="23">
      <c r="A23" t="inlineStr">
        <is>
          <t>S001-딸기</t>
        </is>
      </c>
      <c r="B23" t="inlineStr">
        <is>
          <t>부산 금정구 농장</t>
        </is>
      </c>
      <c r="C23" t="inlineStr">
        <is>
          <t>딸기</t>
        </is>
      </c>
      <c r="D23" t="inlineStr">
        <is>
          <t>8월</t>
        </is>
      </c>
      <c r="E23" s="11" t="n">
        <v>27</v>
      </c>
      <c r="F23" s="12" t="n">
        <v>0.76</v>
      </c>
      <c r="G23" s="9" t="n">
        <v>17102.85714285714</v>
      </c>
      <c r="H23" s="9" t="n">
        <v>0</v>
      </c>
      <c r="I23" s="9" t="n">
        <v>5576.126205831777</v>
      </c>
      <c r="J23" s="9" t="n">
        <v>1443.575846315514</v>
      </c>
      <c r="K23" s="9" t="n">
        <v>0</v>
      </c>
      <c r="L23" s="9" t="n">
        <v>24122.55919500443</v>
      </c>
    </row>
    <row r="24">
      <c r="A24" t="inlineStr">
        <is>
          <t>S001-딸기</t>
        </is>
      </c>
      <c r="B24" t="inlineStr">
        <is>
          <t>부산 금정구 농장</t>
        </is>
      </c>
      <c r="C24" t="inlineStr">
        <is>
          <t>딸기</t>
        </is>
      </c>
      <c r="D24" t="inlineStr">
        <is>
          <t>9월</t>
        </is>
      </c>
      <c r="E24" s="11" t="n">
        <v>22</v>
      </c>
      <c r="F24" s="12" t="n">
        <v>0.7</v>
      </c>
      <c r="G24" s="9" t="n">
        <v>17102.85714285714</v>
      </c>
      <c r="H24" s="9" t="n">
        <v>0</v>
      </c>
      <c r="I24" s="9" t="n">
        <v>5461.682317312481</v>
      </c>
      <c r="J24" s="9" t="n">
        <v>1410.284696762443</v>
      </c>
      <c r="K24" s="9" t="n">
        <v>0</v>
      </c>
      <c r="L24" s="9" t="n">
        <v>23974.82415693207</v>
      </c>
    </row>
    <row r="25">
      <c r="A25" t="inlineStr">
        <is>
          <t>S001-딸기</t>
        </is>
      </c>
      <c r="B25" t="inlineStr">
        <is>
          <t>부산 금정구 농장</t>
        </is>
      </c>
      <c r="C25" t="inlineStr">
        <is>
          <t>딸기</t>
        </is>
      </c>
      <c r="D25" t="inlineStr">
        <is>
          <t>10월</t>
        </is>
      </c>
      <c r="E25" s="11" t="n">
        <v>15</v>
      </c>
      <c r="F25" s="12" t="n">
        <v>0.62</v>
      </c>
      <c r="G25" s="9" t="n">
        <v>17102.85714285714</v>
      </c>
      <c r="H25" s="9" t="n">
        <v>28.61097212982434</v>
      </c>
      <c r="I25" s="9" t="n">
        <v>5339.608836225229</v>
      </c>
      <c r="J25" s="9" t="n">
        <v>1387.366161939677</v>
      </c>
      <c r="K25" s="9" t="n">
        <v>0</v>
      </c>
      <c r="L25" s="9" t="n">
        <v>23858.44311315187</v>
      </c>
    </row>
    <row r="26">
      <c r="A26" t="inlineStr">
        <is>
          <t>S001-딸기</t>
        </is>
      </c>
      <c r="B26" t="inlineStr">
        <is>
          <t>부산 금정구 농장</t>
        </is>
      </c>
      <c r="C26" t="inlineStr">
        <is>
          <t>딸기</t>
        </is>
      </c>
      <c r="D26" t="inlineStr">
        <is>
          <t>11월</t>
        </is>
      </c>
      <c r="E26" s="11" t="n">
        <v>7</v>
      </c>
      <c r="F26" s="12" t="n">
        <v>0.58</v>
      </c>
      <c r="G26" s="9" t="n">
        <v>17102.85714285714</v>
      </c>
      <c r="H26" s="9" t="n">
        <v>74.3885275375433</v>
      </c>
      <c r="I26" s="9" t="n">
        <v>5217.535355137979</v>
      </c>
      <c r="J26" s="9" t="n">
        <v>1404.734661133409</v>
      </c>
      <c r="K26" s="9" t="n">
        <v>0</v>
      </c>
      <c r="L26" s="9" t="n">
        <v>23799.51568666607</v>
      </c>
    </row>
    <row r="27">
      <c r="A27" t="inlineStr">
        <is>
          <t>S001-딸기</t>
        </is>
      </c>
      <c r="B27" t="inlineStr">
        <is>
          <t>부산 금정구 농장</t>
        </is>
      </c>
      <c r="C27" t="inlineStr">
        <is>
          <t>딸기</t>
        </is>
      </c>
      <c r="D27" t="inlineStr">
        <is>
          <t>12월</t>
        </is>
      </c>
      <c r="E27" s="11" t="n">
        <v>0</v>
      </c>
      <c r="F27" s="12" t="n">
        <v>0.55</v>
      </c>
      <c r="G27" s="9" t="n">
        <v>17102.85714285714</v>
      </c>
      <c r="H27" s="9" t="n">
        <v>114.4438885192974</v>
      </c>
      <c r="I27" s="9" t="n">
        <v>5110.721059186635</v>
      </c>
      <c r="J27" s="9" t="n">
        <v>1442.272658304128</v>
      </c>
      <c r="K27" s="9" t="n">
        <v>0</v>
      </c>
      <c r="L27" s="9" t="n">
        <v>23770.2947488672</v>
      </c>
    </row>
    <row r="28">
      <c r="A28" t="inlineStr">
        <is>
          <t>S001-바질</t>
        </is>
      </c>
      <c r="B28" t="inlineStr">
        <is>
          <t>부산 금정구 농장</t>
        </is>
      </c>
      <c r="C28" t="inlineStr">
        <is>
          <t>바질</t>
        </is>
      </c>
      <c r="D28" t="inlineStr">
        <is>
          <t>1월</t>
        </is>
      </c>
      <c r="E28" s="11" t="n">
        <v>-2</v>
      </c>
      <c r="F28" s="12" t="n">
        <v>0.55</v>
      </c>
      <c r="G28" s="9" t="n">
        <v>17102.85714285714</v>
      </c>
      <c r="H28" s="9" t="n">
        <v>148.7770550750866</v>
      </c>
      <c r="I28" s="9" t="n">
        <v>5019.165948371197</v>
      </c>
      <c r="J28" s="9" t="n">
        <v>2651.554910792157</v>
      </c>
      <c r="K28" s="9" t="n">
        <v>0</v>
      </c>
      <c r="L28" s="9" t="n">
        <v>24922.35505709558</v>
      </c>
    </row>
    <row r="29">
      <c r="A29" t="inlineStr">
        <is>
          <t>S001-바질</t>
        </is>
      </c>
      <c r="B29" t="inlineStr">
        <is>
          <t>부산 금정구 농장</t>
        </is>
      </c>
      <c r="C29" t="inlineStr">
        <is>
          <t>바질</t>
        </is>
      </c>
      <c r="D29" t="inlineStr">
        <is>
          <t>2월</t>
        </is>
      </c>
      <c r="E29" s="11" t="n">
        <v>1</v>
      </c>
      <c r="F29" s="12" t="n">
        <v>0.52</v>
      </c>
      <c r="G29" s="9" t="n">
        <v>17102.85714285714</v>
      </c>
      <c r="H29" s="9" t="n">
        <v>131.610471797192</v>
      </c>
      <c r="I29" s="9" t="n">
        <v>5064.943503778916</v>
      </c>
      <c r="J29" s="9" t="n">
        <v>2628.429157789659</v>
      </c>
      <c r="K29" s="9" t="n">
        <v>0</v>
      </c>
      <c r="L29" s="9" t="n">
        <v>24927.84027622291</v>
      </c>
    </row>
    <row r="30">
      <c r="A30" t="inlineStr">
        <is>
          <t>S001-바질</t>
        </is>
      </c>
      <c r="B30" t="inlineStr">
        <is>
          <t>부산 금정구 농장</t>
        </is>
      </c>
      <c r="C30" t="inlineStr">
        <is>
          <t>바질</t>
        </is>
      </c>
      <c r="D30" t="inlineStr">
        <is>
          <t>3월</t>
        </is>
      </c>
      <c r="E30" s="11" t="n">
        <v>7</v>
      </c>
      <c r="F30" s="12" t="n">
        <v>0.55</v>
      </c>
      <c r="G30" s="9" t="n">
        <v>17102.85714285714</v>
      </c>
      <c r="H30" s="9" t="n">
        <v>97.27730524140276</v>
      </c>
      <c r="I30" s="9" t="n">
        <v>5156.498614594354</v>
      </c>
      <c r="J30" s="9" t="n">
        <v>2597.218440447215</v>
      </c>
      <c r="K30" s="9" t="n">
        <v>0</v>
      </c>
      <c r="L30" s="9" t="n">
        <v>24953.85150314011</v>
      </c>
    </row>
    <row r="31">
      <c r="A31" t="inlineStr">
        <is>
          <t>S001-바질</t>
        </is>
      </c>
      <c r="B31" t="inlineStr">
        <is>
          <t>부산 금정구 농장</t>
        </is>
      </c>
      <c r="C31" t="inlineStr">
        <is>
          <t>바질</t>
        </is>
      </c>
      <c r="D31" t="inlineStr">
        <is>
          <t>4월</t>
        </is>
      </c>
      <c r="E31" s="11" t="n">
        <v>14</v>
      </c>
      <c r="F31" s="12" t="n">
        <v>0.58</v>
      </c>
      <c r="G31" s="9" t="n">
        <v>17102.85714285714</v>
      </c>
      <c r="H31" s="9" t="n">
        <v>57.22194425964869</v>
      </c>
      <c r="I31" s="9" t="n">
        <v>5263.312910545698</v>
      </c>
      <c r="J31" s="9" t="n">
        <v>2577.808912909277</v>
      </c>
      <c r="K31" s="9" t="n">
        <v>0</v>
      </c>
      <c r="L31" s="9" t="n">
        <v>25001.20091057176</v>
      </c>
    </row>
    <row r="32">
      <c r="A32" t="inlineStr">
        <is>
          <t>S001-바질</t>
        </is>
      </c>
      <c r="B32" t="inlineStr">
        <is>
          <t>부산 금정구 농장</t>
        </is>
      </c>
      <c r="C32" t="inlineStr">
        <is>
          <t>바질</t>
        </is>
      </c>
      <c r="D32" t="inlineStr">
        <is>
          <t>5월</t>
        </is>
      </c>
      <c r="E32" s="11" t="n">
        <v>19</v>
      </c>
      <c r="F32" s="12" t="n">
        <v>0.65</v>
      </c>
      <c r="G32" s="9" t="n">
        <v>17102.85714285714</v>
      </c>
      <c r="H32" s="9" t="n">
        <v>28.61097212982434</v>
      </c>
      <c r="I32" s="9" t="n">
        <v>5339.608836225229</v>
      </c>
      <c r="J32" s="9" t="n">
        <v>2595.036948780004</v>
      </c>
      <c r="K32" s="9" t="n">
        <v>0</v>
      </c>
      <c r="L32" s="9" t="n">
        <v>25066.1138999922</v>
      </c>
    </row>
    <row r="33">
      <c r="A33" t="inlineStr">
        <is>
          <t>S001-바질</t>
        </is>
      </c>
      <c r="B33" t="inlineStr">
        <is>
          <t>부산 금정구 농장</t>
        </is>
      </c>
      <c r="C33" t="inlineStr">
        <is>
          <t>바질</t>
        </is>
      </c>
      <c r="D33" t="inlineStr">
        <is>
          <t>6월</t>
        </is>
      </c>
      <c r="E33" s="11" t="n">
        <v>23</v>
      </c>
      <c r="F33" s="12" t="n">
        <v>0.72</v>
      </c>
      <c r="G33" s="9" t="n">
        <v>17102.85714285714</v>
      </c>
      <c r="H33" s="9" t="n">
        <v>5.722194425964868</v>
      </c>
      <c r="I33" s="9" t="n">
        <v>5400.645576768855</v>
      </c>
      <c r="J33" s="9" t="n">
        <v>2634.03330368491</v>
      </c>
      <c r="K33" s="9" t="n">
        <v>0</v>
      </c>
      <c r="L33" s="9" t="n">
        <v>25143.25821773687</v>
      </c>
    </row>
    <row r="34">
      <c r="A34" t="inlineStr">
        <is>
          <t>S001-바질</t>
        </is>
      </c>
      <c r="B34" t="inlineStr">
        <is>
          <t>부산 금정구 농장</t>
        </is>
      </c>
      <c r="C34" t="inlineStr">
        <is>
          <t>바질</t>
        </is>
      </c>
      <c r="D34" t="inlineStr">
        <is>
          <t>7월</t>
        </is>
      </c>
      <c r="E34" s="11" t="n">
        <v>26</v>
      </c>
      <c r="F34" s="12" t="n">
        <v>0.78</v>
      </c>
      <c r="G34" s="9" t="n">
        <v>17102.85714285714</v>
      </c>
      <c r="H34" s="9" t="n">
        <v>0</v>
      </c>
      <c r="I34" s="9" t="n">
        <v>5461.682317312481</v>
      </c>
      <c r="J34" s="9" t="n">
        <v>2671.790062744605</v>
      </c>
      <c r="K34" s="9" t="n">
        <v>0</v>
      </c>
      <c r="L34" s="9" t="n">
        <v>25236.32952291423</v>
      </c>
    </row>
    <row r="35">
      <c r="A35" t="inlineStr">
        <is>
          <t>S001-바질</t>
        </is>
      </c>
      <c r="B35" t="inlineStr">
        <is>
          <t>부산 금정구 농장</t>
        </is>
      </c>
      <c r="C35" t="inlineStr">
        <is>
          <t>바질</t>
        </is>
      </c>
      <c r="D35" t="inlineStr">
        <is>
          <t>8월</t>
        </is>
      </c>
      <c r="E35" s="11" t="n">
        <v>27</v>
      </c>
      <c r="F35" s="12" t="n">
        <v>0.76</v>
      </c>
      <c r="G35" s="9" t="n">
        <v>17102.85714285714</v>
      </c>
      <c r="H35" s="9" t="n">
        <v>0</v>
      </c>
      <c r="I35" s="9" t="n">
        <v>5484.57109501634</v>
      </c>
      <c r="J35" s="9" t="n">
        <v>2666.767336364393</v>
      </c>
      <c r="K35" s="9" t="n">
        <v>0</v>
      </c>
      <c r="L35" s="9" t="n">
        <v>25254.19557423788</v>
      </c>
    </row>
    <row r="36">
      <c r="A36" t="inlineStr">
        <is>
          <t>S001-바질</t>
        </is>
      </c>
      <c r="B36" t="inlineStr">
        <is>
          <t>부산 금정구 농장</t>
        </is>
      </c>
      <c r="C36" t="inlineStr">
        <is>
          <t>바질</t>
        </is>
      </c>
      <c r="D36" t="inlineStr">
        <is>
          <t>9월</t>
        </is>
      </c>
      <c r="E36" s="11" t="n">
        <v>22</v>
      </c>
      <c r="F36" s="12" t="n">
        <v>0.7</v>
      </c>
      <c r="G36" s="9" t="n">
        <v>17102.85714285714</v>
      </c>
      <c r="H36" s="9" t="n">
        <v>11.44438885192974</v>
      </c>
      <c r="I36" s="9" t="n">
        <v>5385.386391632948</v>
      </c>
      <c r="J36" s="9" t="n">
        <v>2621.219565588913</v>
      </c>
      <c r="K36" s="9" t="n">
        <v>0</v>
      </c>
      <c r="L36" s="9" t="n">
        <v>25120.90748893093</v>
      </c>
    </row>
    <row r="37">
      <c r="A37" t="inlineStr">
        <is>
          <t>S001-바질</t>
        </is>
      </c>
      <c r="B37" t="inlineStr">
        <is>
          <t>부산 금정구 농장</t>
        </is>
      </c>
      <c r="C37" t="inlineStr">
        <is>
          <t>바질</t>
        </is>
      </c>
      <c r="D37" t="inlineStr">
        <is>
          <t>10월</t>
        </is>
      </c>
      <c r="E37" s="11" t="n">
        <v>15</v>
      </c>
      <c r="F37" s="12" t="n">
        <v>0.62</v>
      </c>
      <c r="G37" s="9" t="n">
        <v>17102.85714285714</v>
      </c>
      <c r="H37" s="9" t="n">
        <v>51.49974983368381</v>
      </c>
      <c r="I37" s="9" t="n">
        <v>5278.572095681605</v>
      </c>
      <c r="J37" s="9" t="n">
        <v>2585.735765742314</v>
      </c>
      <c r="K37" s="9" t="n">
        <v>0</v>
      </c>
      <c r="L37" s="9" t="n">
        <v>25018.66475411474</v>
      </c>
    </row>
    <row r="38">
      <c r="A38" t="inlineStr">
        <is>
          <t>S001-바질</t>
        </is>
      </c>
      <c r="B38" t="inlineStr">
        <is>
          <t>부산 금정구 농장</t>
        </is>
      </c>
      <c r="C38" t="inlineStr">
        <is>
          <t>바질</t>
        </is>
      </c>
      <c r="D38" t="inlineStr">
        <is>
          <t>11월</t>
        </is>
      </c>
      <c r="E38" s="11" t="n">
        <v>7</v>
      </c>
      <c r="F38" s="12" t="n">
        <v>0.58</v>
      </c>
      <c r="G38" s="9" t="n">
        <v>17102.85714285714</v>
      </c>
      <c r="H38" s="9" t="n">
        <v>97.27730524140276</v>
      </c>
      <c r="I38" s="9" t="n">
        <v>5156.498614594354</v>
      </c>
      <c r="J38" s="9" t="n">
        <v>2601.646525757009</v>
      </c>
      <c r="K38" s="9" t="n">
        <v>0</v>
      </c>
      <c r="L38" s="9" t="n">
        <v>24958.27958844991</v>
      </c>
    </row>
    <row r="39">
      <c r="A39" t="inlineStr">
        <is>
          <t>S001-바질</t>
        </is>
      </c>
      <c r="B39" t="inlineStr">
        <is>
          <t>부산 금정구 농장</t>
        </is>
      </c>
      <c r="C39" t="inlineStr">
        <is>
          <t>바질</t>
        </is>
      </c>
      <c r="D39" t="inlineStr">
        <is>
          <t>12월</t>
        </is>
      </c>
      <c r="E39" s="11" t="n">
        <v>0</v>
      </c>
      <c r="F39" s="12" t="n">
        <v>0.55</v>
      </c>
      <c r="G39" s="9" t="n">
        <v>17102.85714285714</v>
      </c>
      <c r="H39" s="9" t="n">
        <v>137.3326662231568</v>
      </c>
      <c r="I39" s="9" t="n">
        <v>5049.68431864301</v>
      </c>
      <c r="J39" s="9" t="n">
        <v>2637.917466864836</v>
      </c>
      <c r="K39" s="9" t="n">
        <v>0</v>
      </c>
      <c r="L39" s="9" t="n">
        <v>24927.79159458814</v>
      </c>
    </row>
    <row r="40">
      <c r="A40" t="inlineStr">
        <is>
          <t>S002-상추</t>
        </is>
      </c>
      <c r="B40" t="inlineStr">
        <is>
          <t>부산 해운대 농장</t>
        </is>
      </c>
      <c r="C40" t="inlineStr">
        <is>
          <t>상추</t>
        </is>
      </c>
      <c r="D40" t="inlineStr">
        <is>
          <t>1월</t>
        </is>
      </c>
      <c r="E40" s="11" t="n">
        <v>-2</v>
      </c>
      <c r="F40" s="12" t="n">
        <v>0.55</v>
      </c>
      <c r="G40" s="9" t="n">
        <v>5162.142857142857</v>
      </c>
      <c r="H40" s="9" t="n">
        <v>83.82813609803635</v>
      </c>
      <c r="I40" s="9" t="n">
        <v>1448.393824544046</v>
      </c>
      <c r="J40" s="9" t="n">
        <v>6564.069777381705</v>
      </c>
      <c r="K40" s="9" t="n">
        <v>0</v>
      </c>
      <c r="L40" s="9" t="n">
        <v>13258.43459516664</v>
      </c>
    </row>
    <row r="41">
      <c r="A41" t="inlineStr">
        <is>
          <t>S002-상추</t>
        </is>
      </c>
      <c r="B41" t="inlineStr">
        <is>
          <t>부산 해운대 농장</t>
        </is>
      </c>
      <c r="C41" t="inlineStr">
        <is>
          <t>상추</t>
        </is>
      </c>
      <c r="D41" t="inlineStr">
        <is>
          <t>2월</t>
        </is>
      </c>
      <c r="E41" s="11" t="n">
        <v>1</v>
      </c>
      <c r="F41" s="12" t="n">
        <v>0.52</v>
      </c>
      <c r="G41" s="9" t="n">
        <v>5162.142857142857</v>
      </c>
      <c r="H41" s="9" t="n">
        <v>72.39702663012231</v>
      </c>
      <c r="I41" s="9" t="n">
        <v>1473.7962900283</v>
      </c>
      <c r="J41" s="9" t="n">
        <v>6549.427330737695</v>
      </c>
      <c r="K41" s="9" t="n">
        <v>0</v>
      </c>
      <c r="L41" s="9" t="n">
        <v>13257.76350453897</v>
      </c>
    </row>
    <row r="42">
      <c r="A42" t="inlineStr">
        <is>
          <t>S002-상추</t>
        </is>
      </c>
      <c r="B42" t="inlineStr">
        <is>
          <t>부산 해운대 농장</t>
        </is>
      </c>
      <c r="C42" t="inlineStr">
        <is>
          <t>상추</t>
        </is>
      </c>
      <c r="D42" t="inlineStr">
        <is>
          <t>3월</t>
        </is>
      </c>
      <c r="E42" s="11" t="n">
        <v>7</v>
      </c>
      <c r="F42" s="12" t="n">
        <v>0.55</v>
      </c>
      <c r="G42" s="9" t="n">
        <v>5162.142857142857</v>
      </c>
      <c r="H42" s="9" t="n">
        <v>49.53480769429422</v>
      </c>
      <c r="I42" s="9" t="n">
        <v>1524.601220996807</v>
      </c>
      <c r="J42" s="9" t="n">
        <v>6526.190078609749</v>
      </c>
      <c r="K42" s="9" t="n">
        <v>0</v>
      </c>
      <c r="L42" s="9" t="n">
        <v>13262.46896444371</v>
      </c>
    </row>
    <row r="43">
      <c r="A43" t="inlineStr">
        <is>
          <t>S002-상추</t>
        </is>
      </c>
      <c r="B43" t="inlineStr">
        <is>
          <t>부산 해운대 농장</t>
        </is>
      </c>
      <c r="C43" t="inlineStr">
        <is>
          <t>상추</t>
        </is>
      </c>
      <c r="D43" t="inlineStr">
        <is>
          <t>4월</t>
        </is>
      </c>
      <c r="E43" s="11" t="n">
        <v>14</v>
      </c>
      <c r="F43" s="12" t="n">
        <v>0.58</v>
      </c>
      <c r="G43" s="9" t="n">
        <v>5162.142857142857</v>
      </c>
      <c r="H43" s="9" t="n">
        <v>22.8622189358281</v>
      </c>
      <c r="I43" s="9" t="n">
        <v>1583.873640460065</v>
      </c>
      <c r="J43" s="9" t="n">
        <v>6505.922543752812</v>
      </c>
      <c r="K43" s="9" t="n">
        <v>0</v>
      </c>
      <c r="L43" s="9" t="n">
        <v>13274.80126029156</v>
      </c>
    </row>
    <row r="44">
      <c r="A44" t="inlineStr">
        <is>
          <t>S002-상추</t>
        </is>
      </c>
      <c r="B44" t="inlineStr">
        <is>
          <t>부산 해운대 농장</t>
        </is>
      </c>
      <c r="C44" t="inlineStr">
        <is>
          <t>상추</t>
        </is>
      </c>
      <c r="D44" t="inlineStr">
        <is>
          <t>5월</t>
        </is>
      </c>
      <c r="E44" s="11" t="n">
        <v>19</v>
      </c>
      <c r="F44" s="12" t="n">
        <v>0.65</v>
      </c>
      <c r="G44" s="9" t="n">
        <v>5162.142857142857</v>
      </c>
      <c r="H44" s="9" t="n">
        <v>3.810369822638016</v>
      </c>
      <c r="I44" s="9" t="n">
        <v>1626.211082933821</v>
      </c>
      <c r="J44" s="9" t="n">
        <v>6503.93321068855</v>
      </c>
      <c r="K44" s="9" t="n">
        <v>0</v>
      </c>
      <c r="L44" s="9" t="n">
        <v>13296.09752058787</v>
      </c>
    </row>
    <row r="45">
      <c r="A45" t="inlineStr">
        <is>
          <t>S002-상추</t>
        </is>
      </c>
      <c r="B45" t="inlineStr">
        <is>
          <t>부산 해운대 농장</t>
        </is>
      </c>
      <c r="C45" t="inlineStr">
        <is>
          <t>상추</t>
        </is>
      </c>
      <c r="D45" t="inlineStr">
        <is>
          <t>6월</t>
        </is>
      </c>
      <c r="E45" s="11" t="n">
        <v>23</v>
      </c>
      <c r="F45" s="12" t="n">
        <v>0.72</v>
      </c>
      <c r="G45" s="9" t="n">
        <v>5162.142857142857</v>
      </c>
      <c r="H45" s="9" t="n">
        <v>0</v>
      </c>
      <c r="I45" s="9" t="n">
        <v>1675.322516203377</v>
      </c>
      <c r="J45" s="9" t="n">
        <v>6501.283491283749</v>
      </c>
      <c r="K45" s="9" t="n">
        <v>0</v>
      </c>
      <c r="L45" s="9" t="n">
        <v>13338.74886462998</v>
      </c>
    </row>
    <row r="46">
      <c r="A46" t="inlineStr">
        <is>
          <t>S002-상추</t>
        </is>
      </c>
      <c r="B46" t="inlineStr">
        <is>
          <t>부산 해운대 농장</t>
        </is>
      </c>
      <c r="C46" t="inlineStr">
        <is>
          <t>상추</t>
        </is>
      </c>
      <c r="D46" t="inlineStr">
        <is>
          <t>7월</t>
        </is>
      </c>
      <c r="E46" s="11" t="n">
        <v>26</v>
      </c>
      <c r="F46" s="12" t="n">
        <v>0.78</v>
      </c>
      <c r="G46" s="9" t="n">
        <v>5162.142857142857</v>
      </c>
      <c r="H46" s="9" t="n">
        <v>0</v>
      </c>
      <c r="I46" s="9" t="n">
        <v>1715.966460978183</v>
      </c>
      <c r="J46" s="9" t="n">
        <v>6504.410543893575</v>
      </c>
      <c r="K46" s="9" t="n">
        <v>0</v>
      </c>
      <c r="L46" s="9" t="n">
        <v>13382.51986201461</v>
      </c>
    </row>
    <row r="47">
      <c r="A47" t="inlineStr">
        <is>
          <t>S002-상추</t>
        </is>
      </c>
      <c r="B47" t="inlineStr">
        <is>
          <t>부산 해운대 농장</t>
        </is>
      </c>
      <c r="C47" t="inlineStr">
        <is>
          <t>상추</t>
        </is>
      </c>
      <c r="D47" t="inlineStr">
        <is>
          <t>8월</t>
        </is>
      </c>
      <c r="E47" s="11" t="n">
        <v>27</v>
      </c>
      <c r="F47" s="12" t="n">
        <v>0.76</v>
      </c>
      <c r="G47" s="9" t="n">
        <v>5162.142857142857</v>
      </c>
      <c r="H47" s="9" t="n">
        <v>0</v>
      </c>
      <c r="I47" s="9" t="n">
        <v>1729.514442569784</v>
      </c>
      <c r="J47" s="9" t="n">
        <v>6499.137460954314</v>
      </c>
      <c r="K47" s="9" t="n">
        <v>0</v>
      </c>
      <c r="L47" s="9" t="n">
        <v>13390.79476066695</v>
      </c>
    </row>
    <row r="48">
      <c r="A48" t="inlineStr">
        <is>
          <t>S002-상추</t>
        </is>
      </c>
      <c r="B48" t="inlineStr">
        <is>
          <t>부산 해운대 농장</t>
        </is>
      </c>
      <c r="C48" t="inlineStr">
        <is>
          <t>상추</t>
        </is>
      </c>
      <c r="D48" t="inlineStr">
        <is>
          <t>9월</t>
        </is>
      </c>
      <c r="E48" s="11" t="n">
        <v>22</v>
      </c>
      <c r="F48" s="12" t="n">
        <v>0.7</v>
      </c>
      <c r="G48" s="9" t="n">
        <v>5162.142857142857</v>
      </c>
      <c r="H48" s="9" t="n">
        <v>0</v>
      </c>
      <c r="I48" s="9" t="n">
        <v>1661.774534611775</v>
      </c>
      <c r="J48" s="9" t="n">
        <v>6501.647555701644</v>
      </c>
      <c r="K48" s="9" t="n">
        <v>0</v>
      </c>
      <c r="L48" s="9" t="n">
        <v>13325.56494745628</v>
      </c>
    </row>
    <row r="49">
      <c r="A49" t="inlineStr">
        <is>
          <t>S002-상추</t>
        </is>
      </c>
      <c r="B49" t="inlineStr">
        <is>
          <t>부산 해운대 농장</t>
        </is>
      </c>
      <c r="C49" t="inlineStr">
        <is>
          <t>상추</t>
        </is>
      </c>
      <c r="D49" t="inlineStr">
        <is>
          <t>10월</t>
        </is>
      </c>
      <c r="E49" s="11" t="n">
        <v>15</v>
      </c>
      <c r="F49" s="12" t="n">
        <v>0.62</v>
      </c>
      <c r="G49" s="9" t="n">
        <v>5162.142857142857</v>
      </c>
      <c r="H49" s="9" t="n">
        <v>19.05184911319008</v>
      </c>
      <c r="I49" s="9" t="n">
        <v>1592.341128954816</v>
      </c>
      <c r="J49" s="9" t="n">
        <v>6507.321806495134</v>
      </c>
      <c r="K49" s="9" t="n">
        <v>0</v>
      </c>
      <c r="L49" s="9" t="n">
        <v>13280.857641706</v>
      </c>
    </row>
    <row r="50">
      <c r="A50" t="inlineStr">
        <is>
          <t>S002-상추</t>
        </is>
      </c>
      <c r="B50" t="inlineStr">
        <is>
          <t>부산 해운대 농장</t>
        </is>
      </c>
      <c r="C50" t="inlineStr">
        <is>
          <t>상추</t>
        </is>
      </c>
      <c r="D50" t="inlineStr">
        <is>
          <t>11월</t>
        </is>
      </c>
      <c r="E50" s="11" t="n">
        <v>7</v>
      </c>
      <c r="F50" s="12" t="n">
        <v>0.58</v>
      </c>
      <c r="G50" s="9" t="n">
        <v>5162.142857142857</v>
      </c>
      <c r="H50" s="9" t="n">
        <v>49.53480769429422</v>
      </c>
      <c r="I50" s="9" t="n">
        <v>1524.601220996807</v>
      </c>
      <c r="J50" s="9" t="n">
        <v>6527.966708510263</v>
      </c>
      <c r="K50" s="9" t="n">
        <v>0</v>
      </c>
      <c r="L50" s="9" t="n">
        <v>13264.24559434422</v>
      </c>
    </row>
    <row r="51">
      <c r="A51" t="inlineStr">
        <is>
          <t>S002-상추</t>
        </is>
      </c>
      <c r="B51" t="inlineStr">
        <is>
          <t>부산 해운대 농장</t>
        </is>
      </c>
      <c r="C51" t="inlineStr">
        <is>
          <t>상추</t>
        </is>
      </c>
      <c r="D51" t="inlineStr">
        <is>
          <t>12월</t>
        </is>
      </c>
      <c r="E51" s="11" t="n">
        <v>0</v>
      </c>
      <c r="F51" s="12" t="n">
        <v>0.55</v>
      </c>
      <c r="G51" s="9" t="n">
        <v>5162.142857142857</v>
      </c>
      <c r="H51" s="9" t="n">
        <v>76.20739645276032</v>
      </c>
      <c r="I51" s="9" t="n">
        <v>1465.328801533549</v>
      </c>
      <c r="J51" s="9" t="n">
        <v>6555.021711095631</v>
      </c>
      <c r="K51" s="9" t="n">
        <v>0</v>
      </c>
      <c r="L51" s="9" t="n">
        <v>13258.7007662248</v>
      </c>
    </row>
    <row r="52">
      <c r="A52" t="inlineStr">
        <is>
          <t>S002-딸기</t>
        </is>
      </c>
      <c r="B52" t="inlineStr">
        <is>
          <t>부산 해운대 농장</t>
        </is>
      </c>
      <c r="C52" t="inlineStr">
        <is>
          <t>딸기</t>
        </is>
      </c>
      <c r="D52" t="inlineStr">
        <is>
          <t>1월</t>
        </is>
      </c>
      <c r="E52" s="11" t="n">
        <v>-2</v>
      </c>
      <c r="F52" s="12" t="n">
        <v>0.55</v>
      </c>
      <c r="G52" s="9" t="n">
        <v>6882.857142857144</v>
      </c>
      <c r="H52" s="9" t="n">
        <v>74.5138987538101</v>
      </c>
      <c r="I52" s="9" t="n">
        <v>1980.867698561268</v>
      </c>
      <c r="J52" s="9" t="n">
        <v>632.7238234125293</v>
      </c>
      <c r="K52" s="9" t="n">
        <v>0</v>
      </c>
      <c r="L52" s="9" t="n">
        <v>9570.962563584751</v>
      </c>
    </row>
    <row r="53">
      <c r="A53" t="inlineStr">
        <is>
          <t>S002-딸기</t>
        </is>
      </c>
      <c r="B53" t="inlineStr">
        <is>
          <t>부산 해운대 농장</t>
        </is>
      </c>
      <c r="C53" t="inlineStr">
        <is>
          <t>딸기</t>
        </is>
      </c>
      <c r="D53" t="inlineStr">
        <is>
          <t>2월</t>
        </is>
      </c>
      <c r="E53" s="11" t="n">
        <v>1</v>
      </c>
      <c r="F53" s="12" t="n">
        <v>0.52</v>
      </c>
      <c r="G53" s="9" t="n">
        <v>6882.857142857144</v>
      </c>
      <c r="H53" s="9" t="n">
        <v>64.35291256010873</v>
      </c>
      <c r="I53" s="9" t="n">
        <v>2007.963661744472</v>
      </c>
      <c r="J53" s="9" t="n">
        <v>616.8389533249804</v>
      </c>
      <c r="K53" s="9" t="n">
        <v>0</v>
      </c>
      <c r="L53" s="9" t="n">
        <v>9572.012670486707</v>
      </c>
    </row>
    <row r="54">
      <c r="A54" t="inlineStr">
        <is>
          <t>S002-딸기</t>
        </is>
      </c>
      <c r="B54" t="inlineStr">
        <is>
          <t>부산 해운대 농장</t>
        </is>
      </c>
      <c r="C54" t="inlineStr">
        <is>
          <t>딸기</t>
        </is>
      </c>
      <c r="D54" t="inlineStr">
        <is>
          <t>3월</t>
        </is>
      </c>
      <c r="E54" s="11" t="n">
        <v>7</v>
      </c>
      <c r="F54" s="12" t="n">
        <v>0.55</v>
      </c>
      <c r="G54" s="9" t="n">
        <v>6882.857142857144</v>
      </c>
      <c r="H54" s="9" t="n">
        <v>44.03094017270597</v>
      </c>
      <c r="I54" s="9" t="n">
        <v>2062.155588110879</v>
      </c>
      <c r="J54" s="9" t="n">
        <v>591.1168543099575</v>
      </c>
      <c r="K54" s="9" t="n">
        <v>0</v>
      </c>
      <c r="L54" s="9" t="n">
        <v>9580.160525450687</v>
      </c>
    </row>
    <row r="55">
      <c r="A55" t="inlineStr">
        <is>
          <t>S002-딸기</t>
        </is>
      </c>
      <c r="B55" t="inlineStr">
        <is>
          <t>부산 해운대 농장</t>
        </is>
      </c>
      <c r="C55" t="inlineStr">
        <is>
          <t>딸기</t>
        </is>
      </c>
      <c r="D55" t="inlineStr">
        <is>
          <t>4월</t>
        </is>
      </c>
      <c r="E55" s="11" t="n">
        <v>14</v>
      </c>
      <c r="F55" s="12" t="n">
        <v>0.58</v>
      </c>
      <c r="G55" s="9" t="n">
        <v>6882.857142857144</v>
      </c>
      <c r="H55" s="9" t="n">
        <v>20.32197238740276</v>
      </c>
      <c r="I55" s="9" t="n">
        <v>2125.379502205022</v>
      </c>
      <c r="J55" s="9" t="n">
        <v>567.9503314180961</v>
      </c>
      <c r="K55" s="9" t="n">
        <v>0</v>
      </c>
      <c r="L55" s="9" t="n">
        <v>9596.508948867666</v>
      </c>
    </row>
    <row r="56">
      <c r="A56" t="inlineStr">
        <is>
          <t>S002-딸기</t>
        </is>
      </c>
      <c r="B56" t="inlineStr">
        <is>
          <t>부산 해운대 농장</t>
        </is>
      </c>
      <c r="C56" t="inlineStr">
        <is>
          <t>딸기</t>
        </is>
      </c>
      <c r="D56" t="inlineStr">
        <is>
          <t>5월</t>
        </is>
      </c>
      <c r="E56" s="11" t="n">
        <v>19</v>
      </c>
      <c r="F56" s="12" t="n">
        <v>0.65</v>
      </c>
      <c r="G56" s="9" t="n">
        <v>6882.857142857144</v>
      </c>
      <c r="H56" s="9" t="n">
        <v>3.386995397900459</v>
      </c>
      <c r="I56" s="9" t="n">
        <v>2170.539440843694</v>
      </c>
      <c r="J56" s="9" t="n">
        <v>563.8902926146015</v>
      </c>
      <c r="K56" s="9" t="n">
        <v>0</v>
      </c>
      <c r="L56" s="9" t="n">
        <v>9620.673871713339</v>
      </c>
    </row>
    <row r="57">
      <c r="A57" t="inlineStr">
        <is>
          <t>S002-딸기</t>
        </is>
      </c>
      <c r="B57" t="inlineStr">
        <is>
          <t>부산 해운대 농장</t>
        </is>
      </c>
      <c r="C57" t="inlineStr">
        <is>
          <t>딸기</t>
        </is>
      </c>
      <c r="D57" t="inlineStr">
        <is>
          <t>6월</t>
        </is>
      </c>
      <c r="E57" s="11" t="n">
        <v>23</v>
      </c>
      <c r="F57" s="12" t="n">
        <v>0.72</v>
      </c>
      <c r="G57" s="9" t="n">
        <v>6882.857142857144</v>
      </c>
      <c r="H57" s="9" t="n">
        <v>0</v>
      </c>
      <c r="I57" s="9" t="n">
        <v>2220.215373346234</v>
      </c>
      <c r="J57" s="9" t="n">
        <v>560.8264320619544</v>
      </c>
      <c r="K57" s="9" t="n">
        <v>0</v>
      </c>
      <c r="L57" s="9" t="n">
        <v>9663.898948265332</v>
      </c>
    </row>
    <row r="58">
      <c r="A58" t="inlineStr">
        <is>
          <t>S002-딸기</t>
        </is>
      </c>
      <c r="B58" t="inlineStr">
        <is>
          <t>부산 해운대 농장</t>
        </is>
      </c>
      <c r="C58" t="inlineStr">
        <is>
          <t>딸기</t>
        </is>
      </c>
      <c r="D58" t="inlineStr">
        <is>
          <t>7월</t>
        </is>
      </c>
      <c r="E58" s="11" t="n">
        <v>26</v>
      </c>
      <c r="F58" s="12" t="n">
        <v>0.78</v>
      </c>
      <c r="G58" s="9" t="n">
        <v>6882.857142857144</v>
      </c>
      <c r="H58" s="9" t="n">
        <v>0</v>
      </c>
      <c r="I58" s="9" t="n">
        <v>2260.859318121039</v>
      </c>
      <c r="J58" s="9" t="n">
        <v>563.9534846717813</v>
      </c>
      <c r="K58" s="9" t="n">
        <v>0</v>
      </c>
      <c r="L58" s="9" t="n">
        <v>9707.669945649965</v>
      </c>
    </row>
    <row r="59">
      <c r="A59" t="inlineStr">
        <is>
          <t>S002-딸기</t>
        </is>
      </c>
      <c r="B59" t="inlineStr">
        <is>
          <t>부산 해운대 농장</t>
        </is>
      </c>
      <c r="C59" t="inlineStr">
        <is>
          <t>딸기</t>
        </is>
      </c>
      <c r="D59" t="inlineStr">
        <is>
          <t>8월</t>
        </is>
      </c>
      <c r="E59" s="11" t="n">
        <v>27</v>
      </c>
      <c r="F59" s="12" t="n">
        <v>0.76</v>
      </c>
      <c r="G59" s="9" t="n">
        <v>6882.857142857144</v>
      </c>
      <c r="H59" s="9" t="n">
        <v>0</v>
      </c>
      <c r="I59" s="9" t="n">
        <v>2274.407299712642</v>
      </c>
      <c r="J59" s="9" t="n">
        <v>558.6804017325189</v>
      </c>
      <c r="K59" s="9" t="n">
        <v>0</v>
      </c>
      <c r="L59" s="9" t="n">
        <v>9715.944844302305</v>
      </c>
    </row>
    <row r="60">
      <c r="A60" t="inlineStr">
        <is>
          <t>S002-딸기</t>
        </is>
      </c>
      <c r="B60" t="inlineStr">
        <is>
          <t>부산 해운대 농장</t>
        </is>
      </c>
      <c r="C60" t="inlineStr">
        <is>
          <t>딸기</t>
        </is>
      </c>
      <c r="D60" t="inlineStr">
        <is>
          <t>9월</t>
        </is>
      </c>
      <c r="E60" s="11" t="n">
        <v>22</v>
      </c>
      <c r="F60" s="12" t="n">
        <v>0.7</v>
      </c>
      <c r="G60" s="9" t="n">
        <v>6882.857142857144</v>
      </c>
      <c r="H60" s="9" t="n">
        <v>0</v>
      </c>
      <c r="I60" s="9" t="n">
        <v>2206.667391754633</v>
      </c>
      <c r="J60" s="9" t="n">
        <v>561.1904964798498</v>
      </c>
      <c r="K60" s="9" t="n">
        <v>0</v>
      </c>
      <c r="L60" s="9" t="n">
        <v>9650.715031091628</v>
      </c>
    </row>
    <row r="61">
      <c r="A61" t="inlineStr">
        <is>
          <t>S002-딸기</t>
        </is>
      </c>
      <c r="B61" t="inlineStr">
        <is>
          <t>부산 해운대 농장</t>
        </is>
      </c>
      <c r="C61" t="inlineStr">
        <is>
          <t>딸기</t>
        </is>
      </c>
      <c r="D61" t="inlineStr">
        <is>
          <t>10월</t>
        </is>
      </c>
      <c r="E61" s="11" t="n">
        <v>15</v>
      </c>
      <c r="F61" s="12" t="n">
        <v>0.62</v>
      </c>
      <c r="G61" s="9" t="n">
        <v>6882.857142857144</v>
      </c>
      <c r="H61" s="9" t="n">
        <v>16.9349769895023</v>
      </c>
      <c r="I61" s="9" t="n">
        <v>2134.411489932756</v>
      </c>
      <c r="J61" s="9" t="n">
        <v>568.9354530125725</v>
      </c>
      <c r="K61" s="9" t="n">
        <v>0</v>
      </c>
      <c r="L61" s="9" t="n">
        <v>9603.139062791975</v>
      </c>
    </row>
    <row r="62">
      <c r="A62" t="inlineStr">
        <is>
          <t>S002-딸기</t>
        </is>
      </c>
      <c r="B62" t="inlineStr">
        <is>
          <t>부산 해운대 농장</t>
        </is>
      </c>
      <c r="C62" t="inlineStr">
        <is>
          <t>딸기</t>
        </is>
      </c>
      <c r="D62" t="inlineStr">
        <is>
          <t>11월</t>
        </is>
      </c>
      <c r="E62" s="11" t="n">
        <v>7</v>
      </c>
      <c r="F62" s="12" t="n">
        <v>0.58</v>
      </c>
      <c r="G62" s="9" t="n">
        <v>6882.857142857144</v>
      </c>
      <c r="H62" s="9" t="n">
        <v>44.03094017270597</v>
      </c>
      <c r="I62" s="9" t="n">
        <v>2062.155588110879</v>
      </c>
      <c r="J62" s="9" t="n">
        <v>592.8934842104718</v>
      </c>
      <c r="K62" s="9" t="n">
        <v>0</v>
      </c>
      <c r="L62" s="9" t="n">
        <v>9581.937155351201</v>
      </c>
    </row>
    <row r="63">
      <c r="A63" t="inlineStr">
        <is>
          <t>S002-딸기</t>
        </is>
      </c>
      <c r="B63" t="inlineStr">
        <is>
          <t>부산 해운대 농장</t>
        </is>
      </c>
      <c r="C63" t="inlineStr">
        <is>
          <t>딸기</t>
        </is>
      </c>
      <c r="D63" t="inlineStr">
        <is>
          <t>12월</t>
        </is>
      </c>
      <c r="E63" s="11" t="n">
        <v>0</v>
      </c>
      <c r="F63" s="12" t="n">
        <v>0.55</v>
      </c>
      <c r="G63" s="9" t="n">
        <v>6882.857142857144</v>
      </c>
      <c r="H63" s="9" t="n">
        <v>67.73990795800918</v>
      </c>
      <c r="I63" s="9" t="n">
        <v>1998.931674016737</v>
      </c>
      <c r="J63" s="9" t="n">
        <v>622.8474748307642</v>
      </c>
      <c r="K63" s="9" t="n">
        <v>0</v>
      </c>
      <c r="L63" s="9" t="n">
        <v>9572.376199662654</v>
      </c>
    </row>
    <row r="64">
      <c r="A64" t="inlineStr">
        <is>
          <t>S002-바질</t>
        </is>
      </c>
      <c r="B64" t="inlineStr">
        <is>
          <t>부산 해운대 농장</t>
        </is>
      </c>
      <c r="C64" t="inlineStr">
        <is>
          <t>바질</t>
        </is>
      </c>
      <c r="D64" t="inlineStr">
        <is>
          <t>1월</t>
        </is>
      </c>
      <c r="E64" s="11" t="n">
        <v>-2</v>
      </c>
      <c r="F64" s="12" t="n">
        <v>0.55</v>
      </c>
      <c r="G64" s="9" t="n">
        <v>6882.857142857144</v>
      </c>
      <c r="H64" s="9" t="n">
        <v>88.06188034541194</v>
      </c>
      <c r="I64" s="9" t="n">
        <v>1944.73974765033</v>
      </c>
      <c r="J64" s="9" t="n">
        <v>1122.236046729921</v>
      </c>
      <c r="K64" s="9" t="n">
        <v>0</v>
      </c>
      <c r="L64" s="9" t="n">
        <v>10037.89481758281</v>
      </c>
    </row>
    <row r="65">
      <c r="A65" t="inlineStr">
        <is>
          <t>S002-바질</t>
        </is>
      </c>
      <c r="B65" t="inlineStr">
        <is>
          <t>부산 해운대 농장</t>
        </is>
      </c>
      <c r="C65" t="inlineStr">
        <is>
          <t>바질</t>
        </is>
      </c>
      <c r="D65" t="inlineStr">
        <is>
          <t>2월</t>
        </is>
      </c>
      <c r="E65" s="11" t="n">
        <v>1</v>
      </c>
      <c r="F65" s="12" t="n">
        <v>0.52</v>
      </c>
      <c r="G65" s="9" t="n">
        <v>6882.857142857144</v>
      </c>
      <c r="H65" s="9" t="n">
        <v>77.90089415171056</v>
      </c>
      <c r="I65" s="9" t="n">
        <v>1971.835710833534</v>
      </c>
      <c r="J65" s="9" t="n">
        <v>1106.566240255587</v>
      </c>
      <c r="K65" s="9" t="n">
        <v>0</v>
      </c>
      <c r="L65" s="9" t="n">
        <v>10039.15998809797</v>
      </c>
    </row>
    <row r="66">
      <c r="A66" t="inlineStr">
        <is>
          <t>S002-바질</t>
        </is>
      </c>
      <c r="B66" t="inlineStr">
        <is>
          <t>부산 해운대 농장</t>
        </is>
      </c>
      <c r="C66" t="inlineStr">
        <is>
          <t>바질</t>
        </is>
      </c>
      <c r="D66" t="inlineStr">
        <is>
          <t>3월</t>
        </is>
      </c>
      <c r="E66" s="11" t="n">
        <v>7</v>
      </c>
      <c r="F66" s="12" t="n">
        <v>0.55</v>
      </c>
      <c r="G66" s="9" t="n">
        <v>6882.857142857144</v>
      </c>
      <c r="H66" s="9" t="n">
        <v>57.5789217643078</v>
      </c>
      <c r="I66" s="9" t="n">
        <v>2026.027637199941</v>
      </c>
      <c r="J66" s="9" t="n">
        <v>1081.279627622336</v>
      </c>
      <c r="K66" s="9" t="n">
        <v>0</v>
      </c>
      <c r="L66" s="9" t="n">
        <v>10047.74332944373</v>
      </c>
    </row>
    <row r="67">
      <c r="A67" t="inlineStr">
        <is>
          <t>S002-바질</t>
        </is>
      </c>
      <c r="B67" t="inlineStr">
        <is>
          <t>부산 해운대 농장</t>
        </is>
      </c>
      <c r="C67" t="inlineStr">
        <is>
          <t>바질</t>
        </is>
      </c>
      <c r="D67" t="inlineStr">
        <is>
          <t>4월</t>
        </is>
      </c>
      <c r="E67" s="11" t="n">
        <v>14</v>
      </c>
      <c r="F67" s="12" t="n">
        <v>0.58</v>
      </c>
      <c r="G67" s="9" t="n">
        <v>6882.857142857144</v>
      </c>
      <c r="H67" s="9" t="n">
        <v>33.86995397900459</v>
      </c>
      <c r="I67" s="9" t="n">
        <v>2089.251551294083</v>
      </c>
      <c r="J67" s="9" t="n">
        <v>1058.621240634748</v>
      </c>
      <c r="K67" s="9" t="n">
        <v>0</v>
      </c>
      <c r="L67" s="9" t="n">
        <v>10064.59988876498</v>
      </c>
    </row>
    <row r="68">
      <c r="A68" t="inlineStr">
        <is>
          <t>S002-바질</t>
        </is>
      </c>
      <c r="B68" t="inlineStr">
        <is>
          <t>부산 해운대 농장</t>
        </is>
      </c>
      <c r="C68" t="inlineStr">
        <is>
          <t>바질</t>
        </is>
      </c>
      <c r="D68" t="inlineStr">
        <is>
          <t>5월</t>
        </is>
      </c>
      <c r="E68" s="11" t="n">
        <v>19</v>
      </c>
      <c r="F68" s="12" t="n">
        <v>0.65</v>
      </c>
      <c r="G68" s="9" t="n">
        <v>6882.857142857144</v>
      </c>
      <c r="H68" s="9" t="n">
        <v>16.9349769895023</v>
      </c>
      <c r="I68" s="9" t="n">
        <v>2134.411489932756</v>
      </c>
      <c r="J68" s="9" t="n">
        <v>1054.949306253191</v>
      </c>
      <c r="K68" s="9" t="n">
        <v>0</v>
      </c>
      <c r="L68" s="9" t="n">
        <v>10089.15291603259</v>
      </c>
    </row>
    <row r="69">
      <c r="A69" t="inlineStr">
        <is>
          <t>S002-바질</t>
        </is>
      </c>
      <c r="B69" t="inlineStr">
        <is>
          <t>부산 해운대 농장</t>
        </is>
      </c>
      <c r="C69" t="inlineStr">
        <is>
          <t>바질</t>
        </is>
      </c>
      <c r="D69" t="inlineStr">
        <is>
          <t>6월</t>
        </is>
      </c>
      <c r="E69" s="11" t="n">
        <v>23</v>
      </c>
      <c r="F69" s="12" t="n">
        <v>0.72</v>
      </c>
      <c r="G69" s="9" t="n">
        <v>6882.857142857144</v>
      </c>
      <c r="H69" s="9" t="n">
        <v>3.386995397900459</v>
      </c>
      <c r="I69" s="9" t="n">
        <v>2170.539440843694</v>
      </c>
      <c r="J69" s="9" t="n">
        <v>1062.158826612273</v>
      </c>
      <c r="K69" s="9" t="n">
        <v>0</v>
      </c>
      <c r="L69" s="9" t="n">
        <v>10118.94240571101</v>
      </c>
    </row>
    <row r="70">
      <c r="A70" t="inlineStr">
        <is>
          <t>S002-바질</t>
        </is>
      </c>
      <c r="B70" t="inlineStr">
        <is>
          <t>부산 해운대 농장</t>
        </is>
      </c>
      <c r="C70" t="inlineStr">
        <is>
          <t>바질</t>
        </is>
      </c>
      <c r="D70" t="inlineStr">
        <is>
          <t>7월</t>
        </is>
      </c>
      <c r="E70" s="11" t="n">
        <v>26</v>
      </c>
      <c r="F70" s="12" t="n">
        <v>0.78</v>
      </c>
      <c r="G70" s="9" t="n">
        <v>6882.857142857144</v>
      </c>
      <c r="H70" s="9" t="n">
        <v>0</v>
      </c>
      <c r="I70" s="9" t="n">
        <v>2206.667391754633</v>
      </c>
      <c r="J70" s="9" t="n">
        <v>1068.869485228768</v>
      </c>
      <c r="K70" s="9" t="n">
        <v>0</v>
      </c>
      <c r="L70" s="9" t="n">
        <v>10158.39401984055</v>
      </c>
    </row>
    <row r="71">
      <c r="A71" t="inlineStr">
        <is>
          <t>S002-바질</t>
        </is>
      </c>
      <c r="B71" t="inlineStr">
        <is>
          <t>부산 해운대 농장</t>
        </is>
      </c>
      <c r="C71" t="inlineStr">
        <is>
          <t>바질</t>
        </is>
      </c>
      <c r="D71" t="inlineStr">
        <is>
          <t>8월</t>
        </is>
      </c>
      <c r="E71" s="11" t="n">
        <v>27</v>
      </c>
      <c r="F71" s="12" t="n">
        <v>0.76</v>
      </c>
      <c r="G71" s="9" t="n">
        <v>6882.857142857144</v>
      </c>
      <c r="H71" s="9" t="n">
        <v>0</v>
      </c>
      <c r="I71" s="9" t="n">
        <v>2220.215373346234</v>
      </c>
      <c r="J71" s="9" t="n">
        <v>1063.666593625677</v>
      </c>
      <c r="K71" s="9" t="n">
        <v>0</v>
      </c>
      <c r="L71" s="9" t="n">
        <v>10166.73910982906</v>
      </c>
    </row>
    <row r="72">
      <c r="A72" t="inlineStr">
        <is>
          <t>S002-바질</t>
        </is>
      </c>
      <c r="B72" t="inlineStr">
        <is>
          <t>부산 해운대 농장</t>
        </is>
      </c>
      <c r="C72" t="inlineStr">
        <is>
          <t>바질</t>
        </is>
      </c>
      <c r="D72" t="inlineStr">
        <is>
          <t>9월</t>
        </is>
      </c>
      <c r="E72" s="11" t="n">
        <v>22</v>
      </c>
      <c r="F72" s="12" t="n">
        <v>0.7</v>
      </c>
      <c r="G72" s="9" t="n">
        <v>6882.857142857144</v>
      </c>
      <c r="H72" s="9" t="n">
        <v>6.773990795800918</v>
      </c>
      <c r="I72" s="9" t="n">
        <v>2161.50745311596</v>
      </c>
      <c r="J72" s="9" t="n">
        <v>1059.123112020033</v>
      </c>
      <c r="K72" s="9" t="n">
        <v>0</v>
      </c>
      <c r="L72" s="9" t="n">
        <v>10110.26169878894</v>
      </c>
    </row>
    <row r="73">
      <c r="A73" t="inlineStr">
        <is>
          <t>S002-바질</t>
        </is>
      </c>
      <c r="B73" t="inlineStr">
        <is>
          <t>부산 해운대 농장</t>
        </is>
      </c>
      <c r="C73" t="inlineStr">
        <is>
          <t>바질</t>
        </is>
      </c>
      <c r="D73" t="inlineStr">
        <is>
          <t>10월</t>
        </is>
      </c>
      <c r="E73" s="11" t="n">
        <v>15</v>
      </c>
      <c r="F73" s="12" t="n">
        <v>0.62</v>
      </c>
      <c r="G73" s="9" t="n">
        <v>6882.857142857144</v>
      </c>
      <c r="H73" s="9" t="n">
        <v>30.48295858110413</v>
      </c>
      <c r="I73" s="9" t="n">
        <v>2098.283539021817</v>
      </c>
      <c r="J73" s="9" t="n">
        <v>1059.690281889454</v>
      </c>
      <c r="K73" s="9" t="n">
        <v>0</v>
      </c>
      <c r="L73" s="9" t="n">
        <v>10071.31392234952</v>
      </c>
    </row>
    <row r="74">
      <c r="A74" t="inlineStr">
        <is>
          <t>S002-바질</t>
        </is>
      </c>
      <c r="B74" t="inlineStr">
        <is>
          <t>부산 해운대 농장</t>
        </is>
      </c>
      <c r="C74" t="inlineStr">
        <is>
          <t>바질</t>
        </is>
      </c>
      <c r="D74" t="inlineStr">
        <is>
          <t>11월</t>
        </is>
      </c>
      <c r="E74" s="11" t="n">
        <v>7</v>
      </c>
      <c r="F74" s="12" t="n">
        <v>0.58</v>
      </c>
      <c r="G74" s="9" t="n">
        <v>6882.857142857144</v>
      </c>
      <c r="H74" s="9" t="n">
        <v>57.5789217643078</v>
      </c>
      <c r="I74" s="9" t="n">
        <v>2026.027637199941</v>
      </c>
      <c r="J74" s="9" t="n">
        <v>1083.061661954325</v>
      </c>
      <c r="K74" s="9" t="n">
        <v>0</v>
      </c>
      <c r="L74" s="9" t="n">
        <v>10049.52536377572</v>
      </c>
    </row>
    <row r="75">
      <c r="A75" t="inlineStr">
        <is>
          <t>S002-바질</t>
        </is>
      </c>
      <c r="B75" t="inlineStr">
        <is>
          <t>부산 해운대 농장</t>
        </is>
      </c>
      <c r="C75" t="inlineStr">
        <is>
          <t>바질</t>
        </is>
      </c>
      <c r="D75" t="inlineStr">
        <is>
          <t>12월</t>
        </is>
      </c>
      <c r="E75" s="11" t="n">
        <v>0</v>
      </c>
      <c r="F75" s="12" t="n">
        <v>0.55</v>
      </c>
      <c r="G75" s="9" t="n">
        <v>6882.857142857144</v>
      </c>
      <c r="H75" s="9" t="n">
        <v>81.28788954961102</v>
      </c>
      <c r="I75" s="9" t="n">
        <v>1962.803723105799</v>
      </c>
      <c r="J75" s="9" t="n">
        <v>1112.50573976882</v>
      </c>
      <c r="K75" s="9" t="n">
        <v>0</v>
      </c>
      <c r="L75" s="9" t="n">
        <v>10039.45449528137</v>
      </c>
    </row>
    <row r="76">
      <c r="A76" t="inlineStr">
        <is>
          <t>S003-상추</t>
        </is>
      </c>
      <c r="B76" t="inlineStr">
        <is>
          <t>부산 사하구 농장</t>
        </is>
      </c>
      <c r="C76" t="inlineStr">
        <is>
          <t>상추</t>
        </is>
      </c>
      <c r="D76" t="inlineStr">
        <is>
          <t>1월</t>
        </is>
      </c>
      <c r="E76" s="11" t="n">
        <v>-2</v>
      </c>
      <c r="F76" s="12" t="n">
        <v>0.55</v>
      </c>
      <c r="G76" s="9" t="n">
        <v>36956.25</v>
      </c>
      <c r="H76" s="9" t="n">
        <v>213.8466476953125</v>
      </c>
      <c r="I76" s="9" t="n">
        <v>11227.59772734375</v>
      </c>
      <c r="J76" s="9" t="n">
        <v>46547.78465254809</v>
      </c>
      <c r="K76" s="9" t="n">
        <v>0</v>
      </c>
      <c r="L76" s="9" t="n">
        <v>94945.47902758715</v>
      </c>
    </row>
    <row r="77">
      <c r="A77" t="inlineStr">
        <is>
          <t>S003-상추</t>
        </is>
      </c>
      <c r="B77" t="inlineStr">
        <is>
          <t>부산 사하구 농장</t>
        </is>
      </c>
      <c r="C77" t="inlineStr">
        <is>
          <t>상추</t>
        </is>
      </c>
      <c r="D77" t="inlineStr">
        <is>
          <t>2월</t>
        </is>
      </c>
      <c r="E77" s="11" t="n">
        <v>1</v>
      </c>
      <c r="F77" s="12" t="n">
        <v>0.52</v>
      </c>
      <c r="G77" s="9" t="n">
        <v>36956.25</v>
      </c>
      <c r="H77" s="9" t="n">
        <v>184.6857411914063</v>
      </c>
      <c r="I77" s="9" t="n">
        <v>11292.39974179687</v>
      </c>
      <c r="J77" s="9" t="n">
        <v>46519.84952381673</v>
      </c>
      <c r="K77" s="9" t="n">
        <v>0</v>
      </c>
      <c r="L77" s="9" t="n">
        <v>94953.18500680501</v>
      </c>
    </row>
    <row r="78">
      <c r="A78" t="inlineStr">
        <is>
          <t>S003-상추</t>
        </is>
      </c>
      <c r="B78" t="inlineStr">
        <is>
          <t>부산 사하구 농장</t>
        </is>
      </c>
      <c r="C78" t="inlineStr">
        <is>
          <t>상추</t>
        </is>
      </c>
      <c r="D78" t="inlineStr">
        <is>
          <t>3월</t>
        </is>
      </c>
      <c r="E78" s="11" t="n">
        <v>7</v>
      </c>
      <c r="F78" s="12" t="n">
        <v>0.55</v>
      </c>
      <c r="G78" s="9" t="n">
        <v>36956.25</v>
      </c>
      <c r="H78" s="9" t="n">
        <v>126.3639281835937</v>
      </c>
      <c r="I78" s="9" t="n">
        <v>11422.00377070312</v>
      </c>
      <c r="J78" s="9" t="n">
        <v>46493.66768659438</v>
      </c>
      <c r="K78" s="9" t="n">
        <v>0</v>
      </c>
      <c r="L78" s="9" t="n">
        <v>94998.2853854811</v>
      </c>
    </row>
    <row r="79">
      <c r="A79" t="inlineStr">
        <is>
          <t>S003-상추</t>
        </is>
      </c>
      <c r="B79" t="inlineStr">
        <is>
          <t>부산 사하구 농장</t>
        </is>
      </c>
      <c r="C79" t="inlineStr">
        <is>
          <t>상추</t>
        </is>
      </c>
      <c r="D79" t="inlineStr">
        <is>
          <t>4월</t>
        </is>
      </c>
      <c r="E79" s="11" t="n">
        <v>14</v>
      </c>
      <c r="F79" s="12" t="n">
        <v>0.58</v>
      </c>
      <c r="G79" s="9" t="n">
        <v>36956.25</v>
      </c>
      <c r="H79" s="9" t="n">
        <v>58.3218130078125</v>
      </c>
      <c r="I79" s="9" t="n">
        <v>11573.20847109375</v>
      </c>
      <c r="J79" s="9" t="n">
        <v>46496.71311908824</v>
      </c>
      <c r="K79" s="9" t="n">
        <v>0</v>
      </c>
      <c r="L79" s="9" t="n">
        <v>95084.49340318979</v>
      </c>
    </row>
    <row r="80">
      <c r="A80" t="inlineStr">
        <is>
          <t>S003-상추</t>
        </is>
      </c>
      <c r="B80" t="inlineStr">
        <is>
          <t>부산 사하구 농장</t>
        </is>
      </c>
      <c r="C80" t="inlineStr">
        <is>
          <t>상추</t>
        </is>
      </c>
      <c r="D80" t="inlineStr">
        <is>
          <t>5월</t>
        </is>
      </c>
      <c r="E80" s="11" t="n">
        <v>19</v>
      </c>
      <c r="F80" s="12" t="n">
        <v>0.65</v>
      </c>
      <c r="G80" s="9" t="n">
        <v>36956.25</v>
      </c>
      <c r="H80" s="9" t="n">
        <v>9.72030216796875</v>
      </c>
      <c r="I80" s="9" t="n">
        <v>11681.21182851562</v>
      </c>
      <c r="J80" s="9" t="n">
        <v>46560.19059051997</v>
      </c>
      <c r="K80" s="9" t="n">
        <v>0</v>
      </c>
      <c r="L80" s="9" t="n">
        <v>95207.37272120356</v>
      </c>
    </row>
    <row r="81">
      <c r="A81" t="inlineStr">
        <is>
          <t>S003-상추</t>
        </is>
      </c>
      <c r="B81" t="inlineStr">
        <is>
          <t>부산 사하구 농장</t>
        </is>
      </c>
      <c r="C81" t="inlineStr">
        <is>
          <t>상추</t>
        </is>
      </c>
      <c r="D81" t="inlineStr">
        <is>
          <t>6월</t>
        </is>
      </c>
      <c r="E81" s="11" t="n">
        <v>23</v>
      </c>
      <c r="F81" s="12" t="n">
        <v>0.72</v>
      </c>
      <c r="G81" s="9" t="n">
        <v>36956.25</v>
      </c>
      <c r="H81" s="9" t="n">
        <v>0</v>
      </c>
      <c r="I81" s="9" t="n">
        <v>11806.495723125</v>
      </c>
      <c r="J81" s="9" t="n">
        <v>46632.14509149771</v>
      </c>
      <c r="K81" s="9" t="n">
        <v>0</v>
      </c>
      <c r="L81" s="9" t="n">
        <v>95394.89081462272</v>
      </c>
    </row>
    <row r="82">
      <c r="A82" t="inlineStr">
        <is>
          <t>S003-상추</t>
        </is>
      </c>
      <c r="B82" t="inlineStr">
        <is>
          <t>부산 사하구 농장</t>
        </is>
      </c>
      <c r="C82" t="inlineStr">
        <is>
          <t>상추</t>
        </is>
      </c>
      <c r="D82" t="inlineStr">
        <is>
          <t>7월</t>
        </is>
      </c>
      <c r="E82" s="11" t="n">
        <v>26</v>
      </c>
      <c r="F82" s="12" t="n">
        <v>0.78</v>
      </c>
      <c r="G82" s="9" t="n">
        <v>36956.25</v>
      </c>
      <c r="H82" s="9" t="n">
        <v>0</v>
      </c>
      <c r="I82" s="9" t="n">
        <v>11910.17894625</v>
      </c>
      <c r="J82" s="9" t="n">
        <v>46717.80963379782</v>
      </c>
      <c r="K82" s="9" t="n">
        <v>0</v>
      </c>
      <c r="L82" s="9" t="n">
        <v>95584.23858004782</v>
      </c>
    </row>
    <row r="83">
      <c r="A83" t="inlineStr">
        <is>
          <t>S003-상추</t>
        </is>
      </c>
      <c r="B83" t="inlineStr">
        <is>
          <t>부산 사하구 농장</t>
        </is>
      </c>
      <c r="C83" t="inlineStr">
        <is>
          <t>상추</t>
        </is>
      </c>
      <c r="D83" t="inlineStr">
        <is>
          <t>8월</t>
        </is>
      </c>
      <c r="E83" s="11" t="n">
        <v>27</v>
      </c>
      <c r="F83" s="12" t="n">
        <v>0.76</v>
      </c>
      <c r="G83" s="9" t="n">
        <v>36956.25</v>
      </c>
      <c r="H83" s="9" t="n">
        <v>0</v>
      </c>
      <c r="I83" s="9" t="n">
        <v>11944.740020625</v>
      </c>
      <c r="J83" s="9" t="n">
        <v>46715.36144253146</v>
      </c>
      <c r="K83" s="9" t="n">
        <v>0</v>
      </c>
      <c r="L83" s="9" t="n">
        <v>95616.35146315646</v>
      </c>
    </row>
    <row r="84">
      <c r="A84" t="inlineStr">
        <is>
          <t>S003-상추</t>
        </is>
      </c>
      <c r="B84" t="inlineStr">
        <is>
          <t>부산 사하구 농장</t>
        </is>
      </c>
      <c r="C84" t="inlineStr">
        <is>
          <t>상추</t>
        </is>
      </c>
      <c r="D84" t="inlineStr">
        <is>
          <t>9월</t>
        </is>
      </c>
      <c r="E84" s="11" t="n">
        <v>22</v>
      </c>
      <c r="F84" s="12" t="n">
        <v>0.7</v>
      </c>
      <c r="G84" s="9" t="n">
        <v>36956.25</v>
      </c>
      <c r="H84" s="9" t="n">
        <v>0</v>
      </c>
      <c r="I84" s="9" t="n">
        <v>11771.93464875</v>
      </c>
      <c r="J84" s="9" t="n">
        <v>46610.49446456828</v>
      </c>
      <c r="K84" s="9" t="n">
        <v>0</v>
      </c>
      <c r="L84" s="9" t="n">
        <v>95338.67911331827</v>
      </c>
    </row>
    <row r="85">
      <c r="A85" t="inlineStr">
        <is>
          <t>S003-상추</t>
        </is>
      </c>
      <c r="B85" t="inlineStr">
        <is>
          <t>부산 사하구 농장</t>
        </is>
      </c>
      <c r="C85" t="inlineStr">
        <is>
          <t>상추</t>
        </is>
      </c>
      <c r="D85" t="inlineStr">
        <is>
          <t>10월</t>
        </is>
      </c>
      <c r="E85" s="11" t="n">
        <v>15</v>
      </c>
      <c r="F85" s="12" t="n">
        <v>0.62</v>
      </c>
      <c r="G85" s="9" t="n">
        <v>36956.25</v>
      </c>
      <c r="H85" s="9" t="n">
        <v>48.60151083984375</v>
      </c>
      <c r="I85" s="9" t="n">
        <v>11594.80914257813</v>
      </c>
      <c r="J85" s="9" t="n">
        <v>46518.23088475454</v>
      </c>
      <c r="K85" s="9" t="n">
        <v>0</v>
      </c>
      <c r="L85" s="9" t="n">
        <v>95117.89153817249</v>
      </c>
    </row>
    <row r="86">
      <c r="A86" t="inlineStr">
        <is>
          <t>S003-상추</t>
        </is>
      </c>
      <c r="B86" t="inlineStr">
        <is>
          <t>부산 사하구 농장</t>
        </is>
      </c>
      <c r="C86" t="inlineStr">
        <is>
          <t>상추</t>
        </is>
      </c>
      <c r="D86" t="inlineStr">
        <is>
          <t>11월</t>
        </is>
      </c>
      <c r="E86" s="11" t="n">
        <v>7</v>
      </c>
      <c r="F86" s="12" t="n">
        <v>0.58</v>
      </c>
      <c r="G86" s="9" t="n">
        <v>36956.25</v>
      </c>
      <c r="H86" s="9" t="n">
        <v>126.3639281835937</v>
      </c>
      <c r="I86" s="9" t="n">
        <v>11422.00377070312</v>
      </c>
      <c r="J86" s="9" t="n">
        <v>46502.38932428781</v>
      </c>
      <c r="K86" s="9" t="n">
        <v>0</v>
      </c>
      <c r="L86" s="9" t="n">
        <v>95007.00702317452</v>
      </c>
    </row>
    <row r="87">
      <c r="A87" t="inlineStr">
        <is>
          <t>S003-상추</t>
        </is>
      </c>
      <c r="B87" t="inlineStr">
        <is>
          <t>부산 사하구 농장</t>
        </is>
      </c>
      <c r="C87" t="inlineStr">
        <is>
          <t>상추</t>
        </is>
      </c>
      <c r="D87" t="inlineStr">
        <is>
          <t>12월</t>
        </is>
      </c>
      <c r="E87" s="11" t="n">
        <v>0</v>
      </c>
      <c r="F87" s="12" t="n">
        <v>0.55</v>
      </c>
      <c r="G87" s="9" t="n">
        <v>36956.25</v>
      </c>
      <c r="H87" s="9" t="n">
        <v>194.406043359375</v>
      </c>
      <c r="I87" s="9" t="n">
        <v>11270.7990703125</v>
      </c>
      <c r="J87" s="9" t="n">
        <v>46532.66418791535</v>
      </c>
      <c r="K87" s="9" t="n">
        <v>0</v>
      </c>
      <c r="L87" s="9" t="n">
        <v>94954.11930158723</v>
      </c>
    </row>
    <row r="88">
      <c r="A88" t="inlineStr">
        <is>
          <t>S003-딸기</t>
        </is>
      </c>
      <c r="B88" t="inlineStr">
        <is>
          <t>부산 사하구 농장</t>
        </is>
      </c>
      <c r="C88" t="inlineStr">
        <is>
          <t>딸기</t>
        </is>
      </c>
      <c r="D88" t="inlineStr">
        <is>
          <t>1월</t>
        </is>
      </c>
      <c r="E88" s="11" t="n">
        <v>-2</v>
      </c>
      <c r="F88" s="12" t="n">
        <v>0.55</v>
      </c>
      <c r="G88" s="9" t="n">
        <v>49275</v>
      </c>
      <c r="H88" s="9" t="n">
        <v>190.0859090625</v>
      </c>
      <c r="I88" s="9" t="n">
        <v>15096.8542425</v>
      </c>
      <c r="J88" s="9" t="n">
        <v>4042.755070096651</v>
      </c>
      <c r="K88" s="9" t="n">
        <v>0</v>
      </c>
      <c r="L88" s="9" t="n">
        <v>68604.69522165915</v>
      </c>
    </row>
    <row r="89">
      <c r="A89" t="inlineStr">
        <is>
          <t>S003-딸기</t>
        </is>
      </c>
      <c r="B89" t="inlineStr">
        <is>
          <t>부산 사하구 농장</t>
        </is>
      </c>
      <c r="C89" t="inlineStr">
        <is>
          <t>딸기</t>
        </is>
      </c>
      <c r="D89" t="inlineStr">
        <is>
          <t>2월</t>
        </is>
      </c>
      <c r="E89" s="11" t="n">
        <v>1</v>
      </c>
      <c r="F89" s="12" t="n">
        <v>0.52</v>
      </c>
      <c r="G89" s="9" t="n">
        <v>49275</v>
      </c>
      <c r="H89" s="9" t="n">
        <v>164.16510328125</v>
      </c>
      <c r="I89" s="9" t="n">
        <v>15165.97639125</v>
      </c>
      <c r="J89" s="9" t="n">
        <v>4011.650503265082</v>
      </c>
      <c r="K89" s="9" t="n">
        <v>0</v>
      </c>
      <c r="L89" s="9" t="n">
        <v>68616.79199779633</v>
      </c>
    </row>
    <row r="90">
      <c r="A90" t="inlineStr">
        <is>
          <t>S003-딸기</t>
        </is>
      </c>
      <c r="B90" t="inlineStr">
        <is>
          <t>부산 사하구 농장</t>
        </is>
      </c>
      <c r="C90" t="inlineStr">
        <is>
          <t>딸기</t>
        </is>
      </c>
      <c r="D90" t="inlineStr">
        <is>
          <t>3월</t>
        </is>
      </c>
      <c r="E90" s="11" t="n">
        <v>7</v>
      </c>
      <c r="F90" s="12" t="n">
        <v>0.55</v>
      </c>
      <c r="G90" s="9" t="n">
        <v>49275</v>
      </c>
      <c r="H90" s="9" t="n">
        <v>112.32349171875</v>
      </c>
      <c r="I90" s="9" t="n">
        <v>15304.22068875</v>
      </c>
      <c r="J90" s="9" t="n">
        <v>3979.129789842305</v>
      </c>
      <c r="K90" s="9" t="n">
        <v>0</v>
      </c>
      <c r="L90" s="9" t="n">
        <v>68670.67397031105</v>
      </c>
    </row>
    <row r="91">
      <c r="A91" t="inlineStr">
        <is>
          <t>S003-딸기</t>
        </is>
      </c>
      <c r="B91" t="inlineStr">
        <is>
          <t>부산 사하구 농장</t>
        </is>
      </c>
      <c r="C91" t="inlineStr">
        <is>
          <t>딸기</t>
        </is>
      </c>
      <c r="D91" t="inlineStr">
        <is>
          <t>4월</t>
        </is>
      </c>
      <c r="E91" s="11" t="n">
        <v>14</v>
      </c>
      <c r="F91" s="12" t="n">
        <v>0.58</v>
      </c>
      <c r="G91" s="9" t="n">
        <v>49275</v>
      </c>
      <c r="H91" s="9" t="n">
        <v>51.8416115625</v>
      </c>
      <c r="I91" s="9" t="n">
        <v>15465.5057025</v>
      </c>
      <c r="J91" s="9" t="n">
        <v>3974.779866769002</v>
      </c>
      <c r="K91" s="9" t="n">
        <v>0</v>
      </c>
      <c r="L91" s="9" t="n">
        <v>68767.12718083151</v>
      </c>
    </row>
    <row r="92">
      <c r="A92" t="inlineStr">
        <is>
          <t>S003-딸기</t>
        </is>
      </c>
      <c r="B92" t="inlineStr">
        <is>
          <t>부산 사하구 농장</t>
        </is>
      </c>
      <c r="C92" t="inlineStr">
        <is>
          <t>딸기</t>
        </is>
      </c>
      <c r="D92" t="inlineStr">
        <is>
          <t>5월</t>
        </is>
      </c>
      <c r="E92" s="11" t="n">
        <v>19</v>
      </c>
      <c r="F92" s="12" t="n">
        <v>0.65</v>
      </c>
      <c r="G92" s="9" t="n">
        <v>49275</v>
      </c>
      <c r="H92" s="9" t="n">
        <v>8.640268593750001</v>
      </c>
      <c r="I92" s="9" t="n">
        <v>15580.70928375</v>
      </c>
      <c r="J92" s="9" t="n">
        <v>4032.974941367051</v>
      </c>
      <c r="K92" s="9" t="n">
        <v>0</v>
      </c>
      <c r="L92" s="9" t="n">
        <v>68897.3244937108</v>
      </c>
    </row>
    <row r="93">
      <c r="A93" t="inlineStr">
        <is>
          <t>S003-딸기</t>
        </is>
      </c>
      <c r="B93" t="inlineStr">
        <is>
          <t>부산 사하구 농장</t>
        </is>
      </c>
      <c r="C93" t="inlineStr">
        <is>
          <t>딸기</t>
        </is>
      </c>
      <c r="D93" t="inlineStr">
        <is>
          <t>6월</t>
        </is>
      </c>
      <c r="E93" s="11" t="n">
        <v>23</v>
      </c>
      <c r="F93" s="12" t="n">
        <v>0.72</v>
      </c>
      <c r="G93" s="9" t="n">
        <v>49275</v>
      </c>
      <c r="H93" s="9" t="n">
        <v>0</v>
      </c>
      <c r="I93" s="9" t="n">
        <v>15707.433223125</v>
      </c>
      <c r="J93" s="9" t="n">
        <v>4103.872962978054</v>
      </c>
      <c r="K93" s="9" t="n">
        <v>0</v>
      </c>
      <c r="L93" s="9" t="n">
        <v>69086.30618610306</v>
      </c>
    </row>
    <row r="94">
      <c r="A94" t="inlineStr">
        <is>
          <t>S003-딸기</t>
        </is>
      </c>
      <c r="B94" t="inlineStr">
        <is>
          <t>부산 사하구 농장</t>
        </is>
      </c>
      <c r="C94" t="inlineStr">
        <is>
          <t>딸기</t>
        </is>
      </c>
      <c r="D94" t="inlineStr">
        <is>
          <t>7월</t>
        </is>
      </c>
      <c r="E94" s="11" t="n">
        <v>26</v>
      </c>
      <c r="F94" s="12" t="n">
        <v>0.78</v>
      </c>
      <c r="G94" s="9" t="n">
        <v>49275</v>
      </c>
      <c r="H94" s="9" t="n">
        <v>0</v>
      </c>
      <c r="I94" s="9" t="n">
        <v>15811.11644625</v>
      </c>
      <c r="J94" s="9" t="n">
        <v>4189.537505278158</v>
      </c>
      <c r="K94" s="9" t="n">
        <v>0</v>
      </c>
      <c r="L94" s="9" t="n">
        <v>69275.65395152816</v>
      </c>
    </row>
    <row r="95">
      <c r="A95" t="inlineStr">
        <is>
          <t>S003-딸기</t>
        </is>
      </c>
      <c r="B95" t="inlineStr">
        <is>
          <t>부산 사하구 농장</t>
        </is>
      </c>
      <c r="C95" t="inlineStr">
        <is>
          <t>딸기</t>
        </is>
      </c>
      <c r="D95" t="inlineStr">
        <is>
          <t>8월</t>
        </is>
      </c>
      <c r="E95" s="11" t="n">
        <v>27</v>
      </c>
      <c r="F95" s="12" t="n">
        <v>0.76</v>
      </c>
      <c r="G95" s="9" t="n">
        <v>49275</v>
      </c>
      <c r="H95" s="9" t="n">
        <v>0</v>
      </c>
      <c r="I95" s="9" t="n">
        <v>15845.677520625</v>
      </c>
      <c r="J95" s="9" t="n">
        <v>4187.089314011799</v>
      </c>
      <c r="K95" s="9" t="n">
        <v>0</v>
      </c>
      <c r="L95" s="9" t="n">
        <v>69307.7668346368</v>
      </c>
    </row>
    <row r="96">
      <c r="A96" t="inlineStr">
        <is>
          <t>S003-딸기</t>
        </is>
      </c>
      <c r="B96" t="inlineStr">
        <is>
          <t>부산 사하구 농장</t>
        </is>
      </c>
      <c r="C96" t="inlineStr">
        <is>
          <t>딸기</t>
        </is>
      </c>
      <c r="D96" t="inlineStr">
        <is>
          <t>9월</t>
        </is>
      </c>
      <c r="E96" s="11" t="n">
        <v>22</v>
      </c>
      <c r="F96" s="12" t="n">
        <v>0.7</v>
      </c>
      <c r="G96" s="9" t="n">
        <v>49275</v>
      </c>
      <c r="H96" s="9" t="n">
        <v>0</v>
      </c>
      <c r="I96" s="9" t="n">
        <v>15672.87214875</v>
      </c>
      <c r="J96" s="9" t="n">
        <v>4082.222336048617</v>
      </c>
      <c r="K96" s="9" t="n">
        <v>0</v>
      </c>
      <c r="L96" s="9" t="n">
        <v>69030.09448479861</v>
      </c>
    </row>
    <row r="97">
      <c r="A97" t="inlineStr">
        <is>
          <t>S003-딸기</t>
        </is>
      </c>
      <c r="B97" t="inlineStr">
        <is>
          <t>부산 사하구 농장</t>
        </is>
      </c>
      <c r="C97" t="inlineStr">
        <is>
          <t>딸기</t>
        </is>
      </c>
      <c r="D97" t="inlineStr">
        <is>
          <t>10월</t>
        </is>
      </c>
      <c r="E97" s="11" t="n">
        <v>15</v>
      </c>
      <c r="F97" s="12" t="n">
        <v>0.62</v>
      </c>
      <c r="G97" s="9" t="n">
        <v>49275</v>
      </c>
      <c r="H97" s="9" t="n">
        <v>43.20134296875001</v>
      </c>
      <c r="I97" s="9" t="n">
        <v>15488.54641875</v>
      </c>
      <c r="J97" s="9" t="n">
        <v>3995.241153068562</v>
      </c>
      <c r="K97" s="9" t="n">
        <v>0</v>
      </c>
      <c r="L97" s="9" t="n">
        <v>68801.98891478732</v>
      </c>
    </row>
    <row r="98">
      <c r="A98" t="inlineStr">
        <is>
          <t>S003-딸기</t>
        </is>
      </c>
      <c r="B98" t="inlineStr">
        <is>
          <t>부산 사하구 농장</t>
        </is>
      </c>
      <c r="C98" t="inlineStr">
        <is>
          <t>딸기</t>
        </is>
      </c>
      <c r="D98" t="inlineStr">
        <is>
          <t>11월</t>
        </is>
      </c>
      <c r="E98" s="11" t="n">
        <v>7</v>
      </c>
      <c r="F98" s="12" t="n">
        <v>0.58</v>
      </c>
      <c r="G98" s="9" t="n">
        <v>49275</v>
      </c>
      <c r="H98" s="9" t="n">
        <v>112.32349171875</v>
      </c>
      <c r="I98" s="9" t="n">
        <v>15304.22068875</v>
      </c>
      <c r="J98" s="9" t="n">
        <v>3987.851427535737</v>
      </c>
      <c r="K98" s="9" t="n">
        <v>0</v>
      </c>
      <c r="L98" s="9" t="n">
        <v>68679.39560800449</v>
      </c>
    </row>
    <row r="99">
      <c r="A99" t="inlineStr">
        <is>
          <t>S003-딸기</t>
        </is>
      </c>
      <c r="B99" t="inlineStr">
        <is>
          <t>부산 사하구 농장</t>
        </is>
      </c>
      <c r="C99" t="inlineStr">
        <is>
          <t>딸기</t>
        </is>
      </c>
      <c r="D99" t="inlineStr">
        <is>
          <t>12월</t>
        </is>
      </c>
      <c r="E99" s="11" t="n">
        <v>0</v>
      </c>
      <c r="F99" s="12" t="n">
        <v>0.55</v>
      </c>
      <c r="G99" s="9" t="n">
        <v>49275</v>
      </c>
      <c r="H99" s="9" t="n">
        <v>172.805371875</v>
      </c>
      <c r="I99" s="9" t="n">
        <v>15142.935675</v>
      </c>
      <c r="J99" s="9" t="n">
        <v>4025.521646730429</v>
      </c>
      <c r="K99" s="9" t="n">
        <v>0</v>
      </c>
      <c r="L99" s="9" t="n">
        <v>68616.26269360543</v>
      </c>
    </row>
    <row r="100">
      <c r="A100" t="inlineStr">
        <is>
          <t>S003-바질</t>
        </is>
      </c>
      <c r="B100" t="inlineStr">
        <is>
          <t>부산 사하구 농장</t>
        </is>
      </c>
      <c r="C100" t="inlineStr">
        <is>
          <t>바질</t>
        </is>
      </c>
      <c r="D100" t="inlineStr">
        <is>
          <t>1월</t>
        </is>
      </c>
      <c r="E100" s="11" t="n">
        <v>-2</v>
      </c>
      <c r="F100" s="12" t="n">
        <v>0.55</v>
      </c>
      <c r="G100" s="9" t="n">
        <v>49275</v>
      </c>
      <c r="H100" s="9" t="n">
        <v>224.6469834375</v>
      </c>
      <c r="I100" s="9" t="n">
        <v>15004.6913775</v>
      </c>
      <c r="J100" s="9" t="n">
        <v>7467.364136129867</v>
      </c>
      <c r="K100" s="9" t="n">
        <v>0</v>
      </c>
      <c r="L100" s="9" t="n">
        <v>71971.70249706737</v>
      </c>
    </row>
    <row r="101">
      <c r="A101" t="inlineStr">
        <is>
          <t>S003-바질</t>
        </is>
      </c>
      <c r="B101" t="inlineStr">
        <is>
          <t>부산 사하구 농장</t>
        </is>
      </c>
      <c r="C101" t="inlineStr">
        <is>
          <t>바질</t>
        </is>
      </c>
      <c r="D101" t="inlineStr">
        <is>
          <t>2월</t>
        </is>
      </c>
      <c r="E101" s="11" t="n">
        <v>1</v>
      </c>
      <c r="F101" s="12" t="n">
        <v>0.52</v>
      </c>
      <c r="G101" s="9" t="n">
        <v>49275</v>
      </c>
      <c r="H101" s="9" t="n">
        <v>198.72617765625</v>
      </c>
      <c r="I101" s="9" t="n">
        <v>15073.81352625</v>
      </c>
      <c r="J101" s="9" t="n">
        <v>7437.315336126801</v>
      </c>
      <c r="K101" s="9" t="n">
        <v>0</v>
      </c>
      <c r="L101" s="9" t="n">
        <v>71984.85504003306</v>
      </c>
    </row>
    <row r="102">
      <c r="A102" t="inlineStr">
        <is>
          <t>S003-바질</t>
        </is>
      </c>
      <c r="B102" t="inlineStr">
        <is>
          <t>부산 사하구 농장</t>
        </is>
      </c>
      <c r="C102" t="inlineStr">
        <is>
          <t>바질</t>
        </is>
      </c>
      <c r="D102" t="inlineStr">
        <is>
          <t>3월</t>
        </is>
      </c>
      <c r="E102" s="11" t="n">
        <v>7</v>
      </c>
      <c r="F102" s="12" t="n">
        <v>0.55</v>
      </c>
      <c r="G102" s="9" t="n">
        <v>49275</v>
      </c>
      <c r="H102" s="9" t="n">
        <v>146.88456609375</v>
      </c>
      <c r="I102" s="9" t="n">
        <v>15212.05782375</v>
      </c>
      <c r="J102" s="9" t="n">
        <v>7406.932464941816</v>
      </c>
      <c r="K102" s="9" t="n">
        <v>0</v>
      </c>
      <c r="L102" s="9" t="n">
        <v>72040.87485478556</v>
      </c>
    </row>
    <row r="103">
      <c r="A103" t="inlineStr">
        <is>
          <t>S003-바질</t>
        </is>
      </c>
      <c r="B103" t="inlineStr">
        <is>
          <t>부산 사하구 농장</t>
        </is>
      </c>
      <c r="C103" t="inlineStr">
        <is>
          <t>바질</t>
        </is>
      </c>
      <c r="D103" t="inlineStr">
        <is>
          <t>4월</t>
        </is>
      </c>
      <c r="E103" s="11" t="n">
        <v>14</v>
      </c>
      <c r="F103" s="12" t="n">
        <v>0.58</v>
      </c>
      <c r="G103" s="9" t="n">
        <v>49275</v>
      </c>
      <c r="H103" s="9" t="n">
        <v>86.40268593750001</v>
      </c>
      <c r="I103" s="9" t="n">
        <v>15373.3428375</v>
      </c>
      <c r="J103" s="9" t="n">
        <v>7405.077027216765</v>
      </c>
      <c r="K103" s="9" t="n">
        <v>0</v>
      </c>
      <c r="L103" s="9" t="n">
        <v>72139.82255065427</v>
      </c>
    </row>
    <row r="104">
      <c r="A104" t="inlineStr">
        <is>
          <t>S003-바질</t>
        </is>
      </c>
      <c r="B104" t="inlineStr">
        <is>
          <t>부산 사하구 농장</t>
        </is>
      </c>
      <c r="C104" t="inlineStr">
        <is>
          <t>바질</t>
        </is>
      </c>
      <c r="D104" t="inlineStr">
        <is>
          <t>5월</t>
        </is>
      </c>
      <c r="E104" s="11" t="n">
        <v>19</v>
      </c>
      <c r="F104" s="12" t="n">
        <v>0.65</v>
      </c>
      <c r="G104" s="9" t="n">
        <v>49275</v>
      </c>
      <c r="H104" s="9" t="n">
        <v>43.20134296875001</v>
      </c>
      <c r="I104" s="9" t="n">
        <v>15488.54641875</v>
      </c>
      <c r="J104" s="9" t="n">
        <v>7465.177341704328</v>
      </c>
      <c r="K104" s="9" t="n">
        <v>0</v>
      </c>
      <c r="L104" s="9" t="n">
        <v>72271.92510342308</v>
      </c>
    </row>
    <row r="105">
      <c r="A105" t="inlineStr">
        <is>
          <t>S003-바질</t>
        </is>
      </c>
      <c r="B105" t="inlineStr">
        <is>
          <t>부산 사하구 농장</t>
        </is>
      </c>
      <c r="C105" t="inlineStr">
        <is>
          <t>바질</t>
        </is>
      </c>
      <c r="D105" t="inlineStr">
        <is>
          <t>6월</t>
        </is>
      </c>
      <c r="E105" s="11" t="n">
        <v>23</v>
      </c>
      <c r="F105" s="12" t="n">
        <v>0.72</v>
      </c>
      <c r="G105" s="9" t="n">
        <v>49275</v>
      </c>
      <c r="H105" s="9" t="n">
        <v>8.640268593750001</v>
      </c>
      <c r="I105" s="9" t="n">
        <v>15580.70928375</v>
      </c>
      <c r="J105" s="9" t="n">
        <v>7563.070471901072</v>
      </c>
      <c r="K105" s="9" t="n">
        <v>0</v>
      </c>
      <c r="L105" s="9" t="n">
        <v>72427.42002424483</v>
      </c>
    </row>
    <row r="106">
      <c r="A106" t="inlineStr">
        <is>
          <t>S003-바질</t>
        </is>
      </c>
      <c r="B106" t="inlineStr">
        <is>
          <t>부산 사하구 농장</t>
        </is>
      </c>
      <c r="C106" t="inlineStr">
        <is>
          <t>바질</t>
        </is>
      </c>
      <c r="D106" t="inlineStr">
        <is>
          <t>7월</t>
        </is>
      </c>
      <c r="E106" s="11" t="n">
        <v>26</v>
      </c>
      <c r="F106" s="12" t="n">
        <v>0.78</v>
      </c>
      <c r="G106" s="9" t="n">
        <v>49275</v>
      </c>
      <c r="H106" s="9" t="n">
        <v>0</v>
      </c>
      <c r="I106" s="9" t="n">
        <v>15672.87214875</v>
      </c>
      <c r="J106" s="9" t="n">
        <v>7658.5146444524</v>
      </c>
      <c r="K106" s="9" t="n">
        <v>0</v>
      </c>
      <c r="L106" s="9" t="n">
        <v>72606.3867932024</v>
      </c>
    </row>
    <row r="107">
      <c r="A107" t="inlineStr">
        <is>
          <t>S003-바질</t>
        </is>
      </c>
      <c r="B107" t="inlineStr">
        <is>
          <t>부산 사하구 농장</t>
        </is>
      </c>
      <c r="C107" t="inlineStr">
        <is>
          <t>바질</t>
        </is>
      </c>
      <c r="D107" t="inlineStr">
        <is>
          <t>8월</t>
        </is>
      </c>
      <c r="E107" s="11" t="n">
        <v>27</v>
      </c>
      <c r="F107" s="12" t="n">
        <v>0.76</v>
      </c>
      <c r="G107" s="9" t="n">
        <v>49275</v>
      </c>
      <c r="H107" s="9" t="n">
        <v>0</v>
      </c>
      <c r="I107" s="9" t="n">
        <v>15707.433223125</v>
      </c>
      <c r="J107" s="9" t="n">
        <v>7656.41102883633</v>
      </c>
      <c r="K107" s="9" t="n">
        <v>0</v>
      </c>
      <c r="L107" s="9" t="n">
        <v>72638.84425196133</v>
      </c>
    </row>
    <row r="108">
      <c r="A108" t="inlineStr">
        <is>
          <t>S003-바질</t>
        </is>
      </c>
      <c r="B108" t="inlineStr">
        <is>
          <t>부산 사하구 농장</t>
        </is>
      </c>
      <c r="C108" t="inlineStr">
        <is>
          <t>바질</t>
        </is>
      </c>
      <c r="D108" t="inlineStr">
        <is>
          <t>9월</t>
        </is>
      </c>
      <c r="E108" s="11" t="n">
        <v>22</v>
      </c>
      <c r="F108" s="12" t="n">
        <v>0.7</v>
      </c>
      <c r="G108" s="9" t="n">
        <v>49275</v>
      </c>
      <c r="H108" s="9" t="n">
        <v>17.2805371875</v>
      </c>
      <c r="I108" s="9" t="n">
        <v>15557.6685675</v>
      </c>
      <c r="J108" s="9" t="n">
        <v>7532.542638157947</v>
      </c>
      <c r="K108" s="9" t="n">
        <v>0</v>
      </c>
      <c r="L108" s="9" t="n">
        <v>72382.49174284545</v>
      </c>
    </row>
    <row r="109">
      <c r="A109" t="inlineStr">
        <is>
          <t>S003-바질</t>
        </is>
      </c>
      <c r="B109" t="inlineStr">
        <is>
          <t>부산 사하구 농장</t>
        </is>
      </c>
      <c r="C109" t="inlineStr">
        <is>
          <t>바질</t>
        </is>
      </c>
      <c r="D109" t="inlineStr">
        <is>
          <t>10월</t>
        </is>
      </c>
      <c r="E109" s="11" t="n">
        <v>15</v>
      </c>
      <c r="F109" s="12" t="n">
        <v>0.62</v>
      </c>
      <c r="G109" s="9" t="n">
        <v>49275</v>
      </c>
      <c r="H109" s="9" t="n">
        <v>77.76241734375</v>
      </c>
      <c r="I109" s="9" t="n">
        <v>15396.38355375</v>
      </c>
      <c r="J109" s="9" t="n">
        <v>7425.950282757449</v>
      </c>
      <c r="K109" s="9" t="n">
        <v>0</v>
      </c>
      <c r="L109" s="9" t="n">
        <v>72175.0962538512</v>
      </c>
    </row>
    <row r="110">
      <c r="A110" t="inlineStr">
        <is>
          <t>S003-바질</t>
        </is>
      </c>
      <c r="B110" t="inlineStr">
        <is>
          <t>부산 사하구 농장</t>
        </is>
      </c>
      <c r="C110" t="inlineStr">
        <is>
          <t>바질</t>
        </is>
      </c>
      <c r="D110" t="inlineStr">
        <is>
          <t>11월</t>
        </is>
      </c>
      <c r="E110" s="11" t="n">
        <v>7</v>
      </c>
      <c r="F110" s="12" t="n">
        <v>0.58</v>
      </c>
      <c r="G110" s="9" t="n">
        <v>49275</v>
      </c>
      <c r="H110" s="9" t="n">
        <v>146.88456609375</v>
      </c>
      <c r="I110" s="9" t="n">
        <v>15212.05782375</v>
      </c>
      <c r="J110" s="9" t="n">
        <v>7415.680633480675</v>
      </c>
      <c r="K110" s="9" t="n">
        <v>0</v>
      </c>
      <c r="L110" s="9" t="n">
        <v>72049.62302332443</v>
      </c>
    </row>
    <row r="111">
      <c r="A111" t="inlineStr">
        <is>
          <t>S003-바질</t>
        </is>
      </c>
      <c r="B111" t="inlineStr">
        <is>
          <t>부산 사하구 농장</t>
        </is>
      </c>
      <c r="C111" t="inlineStr">
        <is>
          <t>바질</t>
        </is>
      </c>
      <c r="D111" t="inlineStr">
        <is>
          <t>12월</t>
        </is>
      </c>
      <c r="E111" s="11" t="n">
        <v>0</v>
      </c>
      <c r="F111" s="12" t="n">
        <v>0.55</v>
      </c>
      <c r="G111" s="9" t="n">
        <v>49275</v>
      </c>
      <c r="H111" s="9" t="n">
        <v>207.36644625</v>
      </c>
      <c r="I111" s="9" t="n">
        <v>15050.77281</v>
      </c>
      <c r="J111" s="9" t="n">
        <v>7450.847644355999</v>
      </c>
      <c r="K111" s="9" t="n">
        <v>0</v>
      </c>
      <c r="L111" s="9" t="n">
        <v>71983.986900606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1" customWidth="1" min="3" max="3"/>
    <col width="44" customWidth="1" min="4" max="4"/>
  </cols>
  <sheetData>
    <row r="1" ht="34" customHeight="1">
      <c r="A1" s="1" t="inlineStr">
        <is>
          <t>모델 기준 및 입력 파일</t>
        </is>
      </c>
    </row>
    <row r="2"/>
    <row r="3" ht="34" customHeight="1">
      <c r="A3" s="3" t="inlineStr">
        <is>
          <t>구분</t>
        </is>
      </c>
      <c r="B3" s="3" t="inlineStr">
        <is>
          <t>항목</t>
        </is>
      </c>
      <c r="C3" s="3" t="inlineStr">
        <is>
          <t>값</t>
        </is>
      </c>
      <c r="D3" s="3" t="inlineStr">
        <is>
          <t>설명</t>
        </is>
      </c>
    </row>
    <row r="4">
      <c r="A4" t="inlineStr">
        <is>
          <t>버전</t>
        </is>
      </c>
      <c r="B4" t="inlineStr">
        <is>
          <t>프로그램 버전</t>
        </is>
      </c>
      <c r="C4" t="inlineStr">
        <is>
          <t>0.3.2</t>
        </is>
      </c>
      <c r="D4" t="inlineStr">
        <is>
          <t>배액률·배액량과 수도 종합단가 반영</t>
        </is>
      </c>
    </row>
    <row r="5">
      <c r="A5" t="inlineStr">
        <is>
          <t>시나리오</t>
        </is>
      </c>
      <c r="B5" t="inlineStr">
        <is>
          <t>조합 방식</t>
        </is>
      </c>
      <c r="C5" t="inlineStr">
        <is>
          <t>공간 × 작물</t>
        </is>
      </c>
      <c r="D5" t="inlineStr">
        <is>
          <t>모든 공간에 모든 작물을 각각 적용</t>
        </is>
      </c>
    </row>
    <row r="6">
      <c r="A6" t="inlineStr">
        <is>
          <t>수도</t>
        </is>
      </c>
      <c r="B6" t="inlineStr">
        <is>
          <t>배액률</t>
        </is>
      </c>
      <c r="C6" t="inlineStr">
        <is>
          <t>30%</t>
        </is>
      </c>
      <c r="D6" t="inlineStr">
        <is>
          <t>standard_info.csv 공통값; 모든 작물에 동일 적용</t>
        </is>
      </c>
    </row>
    <row r="7">
      <c r="A7" t="inlineStr">
        <is>
          <t>수도</t>
        </is>
      </c>
      <c r="B7" t="inlineStr">
        <is>
          <t>수도 종합단가</t>
        </is>
      </c>
      <c r="C7" t="inlineStr">
        <is>
          <t>2,300 원/m³</t>
        </is>
      </c>
      <c r="D7" t="inlineStr">
        <is>
          <t>standard_info.csv 입력</t>
        </is>
      </c>
    </row>
    <row r="8">
      <c r="A8" t="inlineStr">
        <is>
          <t>수익</t>
        </is>
      </c>
      <c r="B8" t="inlineStr">
        <is>
          <t>공간 대여자 배분비율</t>
        </is>
      </c>
      <c r="C8" t="inlineStr">
        <is>
          <t>0.8</t>
        </is>
      </c>
      <c r="D8" t="inlineStr">
        <is>
          <t>contraction_info.csv 입력</t>
        </is>
      </c>
    </row>
    <row r="9">
      <c r="A9" t="inlineStr">
        <is>
          <t>추천</t>
        </is>
      </c>
      <c r="B9" t="inlineStr">
        <is>
          <t>장기계약형</t>
        </is>
      </c>
      <c r="C9" t="inlineStr">
        <is>
          <t>예상수익 ≥ 원하는 월세</t>
        </is>
      </c>
      <c r="D9" t="inlineStr">
        <is>
          <t>두 금액이 같아도 장기계약형</t>
        </is>
      </c>
    </row>
    <row r="10">
      <c r="A10" t="inlineStr">
        <is>
          <t>추천</t>
        </is>
      </c>
      <c r="B10" t="inlineStr">
        <is>
          <t>단기계약형</t>
        </is>
      </c>
      <c r="C10" t="inlineStr">
        <is>
          <t>적자 또는 예상수익 &lt; 원하는 월세</t>
        </is>
      </c>
      <c r="D10" t="inlineStr">
        <is>
          <t>적자 금액은 그대로 출력</t>
        </is>
      </c>
    </row>
    <row r="11">
      <c r="A11" t="inlineStr">
        <is>
          <t>입력 파일</t>
        </is>
      </c>
      <c r="B11" t="inlineStr">
        <is>
          <t>공간정보</t>
        </is>
      </c>
      <c r="C11" t="inlineStr">
        <is>
          <t>data/space_info.csv</t>
        </is>
      </c>
      <c r="D11" t="inlineStr">
        <is>
          <t>사업장별 원하는 월세 포함</t>
        </is>
      </c>
    </row>
    <row r="12">
      <c r="A12" t="inlineStr">
        <is>
          <t>입력 파일</t>
        </is>
      </c>
      <c r="B12" t="inlineStr">
        <is>
          <t>작물 생산정보</t>
        </is>
      </c>
      <c r="C12" t="inlineStr">
        <is>
          <t>data/crop_production_info.csv</t>
        </is>
      </c>
      <c r="D12" t="inlineStr">
        <is>
          <t>상추·딸기·바질</t>
        </is>
      </c>
    </row>
    <row r="13">
      <c r="A13" t="inlineStr">
        <is>
          <t>입력 파일</t>
        </is>
      </c>
      <c r="B13" t="inlineStr">
        <is>
          <t>작물 판매정보</t>
        </is>
      </c>
      <c r="C13" t="inlineStr">
        <is>
          <t>data/crop_sale_info.csv</t>
        </is>
      </c>
      <c r="D13" t="inlineStr">
        <is>
          <t>작물별 kg당 판매가격</t>
        </is>
      </c>
    </row>
    <row r="14">
      <c r="A14" t="inlineStr">
        <is>
          <t>주의</t>
        </is>
      </c>
      <c r="B14" t="inlineStr">
        <is>
          <t>9개 결과 합산</t>
        </is>
      </c>
      <c r="C14" t="inlineStr">
        <is>
          <t>비교용</t>
        </is>
      </c>
      <c r="D14" t="inlineStr">
        <is>
          <t>같은 공간의 대안 작물을 동시에 운영한 합계가 아님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1" customWidth="1" min="3" max="3"/>
    <col width="29" customWidth="1" min="4" max="4"/>
    <col width="10" customWidth="1" min="5" max="5"/>
    <col width="10" customWidth="1" min="6" max="6"/>
    <col width="34" customWidth="1" min="7" max="7"/>
  </cols>
  <sheetData>
    <row r="1" ht="34" customHeight="1">
      <c r="A1" s="1" t="inlineStr">
        <is>
          <t>계산 결과 검증</t>
        </is>
      </c>
    </row>
    <row r="2">
      <c r="A2" s="2" t="inlineStr">
        <is>
          <t>MODEL STATUS</t>
        </is>
      </c>
      <c r="B2" s="13">
        <f>IF(COUNTIF(G5:G22,"FAIL")=0,"PASS","FAIL")</f>
        <v/>
      </c>
    </row>
    <row r="3"/>
    <row r="4" ht="34" customHeight="1">
      <c r="A4" s="3" t="inlineStr">
        <is>
          <t>시나리오ID</t>
        </is>
      </c>
      <c r="B4" s="3" t="inlineStr">
        <is>
          <t>검증 항목</t>
        </is>
      </c>
      <c r="C4" s="3" t="inlineStr">
        <is>
          <t>실제값</t>
        </is>
      </c>
      <c r="D4" s="3" t="inlineStr">
        <is>
          <t>기대값</t>
        </is>
      </c>
      <c r="E4" s="3" t="inlineStr">
        <is>
          <t>차이</t>
        </is>
      </c>
      <c r="F4" s="3" t="inlineStr">
        <is>
          <t>허용오차</t>
        </is>
      </c>
      <c r="G4" s="3" t="inlineStr">
        <is>
          <t>상태</t>
        </is>
      </c>
    </row>
    <row r="5">
      <c r="A5" t="inlineStr">
        <is>
          <t>S001-상추</t>
        </is>
      </c>
      <c r="B5" t="inlineStr">
        <is>
          <t>월 영업이익 = 공간 대여자 예상수익 + 사업장 영업이익</t>
        </is>
      </c>
      <c r="C5" s="9">
        <f>'요약'!W5</f>
        <v/>
      </c>
      <c r="D5" s="9">
        <f>'요약'!Y5+'요약'!AA5</f>
        <v/>
      </c>
      <c r="E5" s="9">
        <f>C5-D5</f>
        <v/>
      </c>
      <c r="F5" s="9" t="n">
        <v>0.5</v>
      </c>
      <c r="G5">
        <f>IF(ABS(E5)&lt;=F5,"PASS","FAIL")</f>
        <v/>
      </c>
    </row>
    <row r="6">
      <c r="A6" t="inlineStr">
        <is>
          <t>S001-상추</t>
        </is>
      </c>
      <c r="B6" t="inlineStr">
        <is>
          <t>월 총 용수량 = 작물 순소비량 + 배액량 + 기타 용수량</t>
        </is>
      </c>
      <c r="C6" s="14">
        <f>'요약'!Q5</f>
        <v/>
      </c>
      <c r="D6" s="14">
        <f>'요약'!N5+'요약'!O5+'요약'!P5</f>
        <v/>
      </c>
      <c r="E6" s="14">
        <f>C6-D6</f>
        <v/>
      </c>
      <c r="F6" s="14" t="n">
        <v>0.001</v>
      </c>
      <c r="G6">
        <f>IF(ABS(E6)&lt;=F6,"PASS","FAIL")</f>
        <v/>
      </c>
    </row>
    <row r="7">
      <c r="A7" t="inlineStr">
        <is>
          <t>S001-딸기</t>
        </is>
      </c>
      <c r="B7" t="inlineStr">
        <is>
          <t>월 영업이익 = 공간 대여자 예상수익 + 사업장 영업이익</t>
        </is>
      </c>
      <c r="C7" s="9">
        <f>'요약'!W6</f>
        <v/>
      </c>
      <c r="D7" s="9">
        <f>'요약'!Y6+'요약'!AA6</f>
        <v/>
      </c>
      <c r="E7" s="9">
        <f>C7-D7</f>
        <v/>
      </c>
      <c r="F7" s="9" t="n">
        <v>0.5</v>
      </c>
      <c r="G7">
        <f>IF(ABS(E7)&lt;=F7,"PASS","FAIL")</f>
        <v/>
      </c>
    </row>
    <row r="8">
      <c r="A8" t="inlineStr">
        <is>
          <t>S001-딸기</t>
        </is>
      </c>
      <c r="B8" t="inlineStr">
        <is>
          <t>월 총 용수량 = 작물 순소비량 + 배액량 + 기타 용수량</t>
        </is>
      </c>
      <c r="C8" s="14">
        <f>'요약'!Q6</f>
        <v/>
      </c>
      <c r="D8" s="14">
        <f>'요약'!N6+'요약'!O6+'요약'!P6</f>
        <v/>
      </c>
      <c r="E8" s="14">
        <f>C8-D8</f>
        <v/>
      </c>
      <c r="F8" s="14" t="n">
        <v>0.001</v>
      </c>
      <c r="G8">
        <f>IF(ABS(E8)&lt;=F8,"PASS","FAIL")</f>
        <v/>
      </c>
    </row>
    <row r="9">
      <c r="A9" t="inlineStr">
        <is>
          <t>S001-바질</t>
        </is>
      </c>
      <c r="B9" t="inlineStr">
        <is>
          <t>월 영업이익 = 공간 대여자 예상수익 + 사업장 영업이익</t>
        </is>
      </c>
      <c r="C9" s="9">
        <f>'요약'!W7</f>
        <v/>
      </c>
      <c r="D9" s="9">
        <f>'요약'!Y7+'요약'!AA7</f>
        <v/>
      </c>
      <c r="E9" s="9">
        <f>C9-D9</f>
        <v/>
      </c>
      <c r="F9" s="9" t="n">
        <v>0.5</v>
      </c>
      <c r="G9">
        <f>IF(ABS(E9)&lt;=F9,"PASS","FAIL")</f>
        <v/>
      </c>
    </row>
    <row r="10">
      <c r="A10" t="inlineStr">
        <is>
          <t>S001-바질</t>
        </is>
      </c>
      <c r="B10" t="inlineStr">
        <is>
          <t>월 총 용수량 = 작물 순소비량 + 배액량 + 기타 용수량</t>
        </is>
      </c>
      <c r="C10" s="14">
        <f>'요약'!Q7</f>
        <v/>
      </c>
      <c r="D10" s="14">
        <f>'요약'!N7+'요약'!O7+'요약'!P7</f>
        <v/>
      </c>
      <c r="E10" s="14">
        <f>C10-D10</f>
        <v/>
      </c>
      <c r="F10" s="14" t="n">
        <v>0.001</v>
      </c>
      <c r="G10">
        <f>IF(ABS(E10)&lt;=F10,"PASS","FAIL")</f>
        <v/>
      </c>
    </row>
    <row r="11">
      <c r="A11" t="inlineStr">
        <is>
          <t>S002-상추</t>
        </is>
      </c>
      <c r="B11" t="inlineStr">
        <is>
          <t>월 영업이익 = 공간 대여자 예상수익 + 사업장 영업이익</t>
        </is>
      </c>
      <c r="C11" s="9">
        <f>'요약'!W8</f>
        <v/>
      </c>
      <c r="D11" s="9">
        <f>'요약'!Y8+'요약'!AA8</f>
        <v/>
      </c>
      <c r="E11" s="9">
        <f>C11-D11</f>
        <v/>
      </c>
      <c r="F11" s="9" t="n">
        <v>0.5</v>
      </c>
      <c r="G11">
        <f>IF(ABS(E11)&lt;=F11,"PASS","FAIL")</f>
        <v/>
      </c>
    </row>
    <row r="12">
      <c r="A12" t="inlineStr">
        <is>
          <t>S002-상추</t>
        </is>
      </c>
      <c r="B12" t="inlineStr">
        <is>
          <t>월 총 용수량 = 작물 순소비량 + 배액량 + 기타 용수량</t>
        </is>
      </c>
      <c r="C12" s="14">
        <f>'요약'!Q8</f>
        <v/>
      </c>
      <c r="D12" s="14">
        <f>'요약'!N8+'요약'!O8+'요약'!P8</f>
        <v/>
      </c>
      <c r="E12" s="14">
        <f>C12-D12</f>
        <v/>
      </c>
      <c r="F12" s="14" t="n">
        <v>0.001</v>
      </c>
      <c r="G12">
        <f>IF(ABS(E12)&lt;=F12,"PASS","FAIL")</f>
        <v/>
      </c>
    </row>
    <row r="13">
      <c r="A13" t="inlineStr">
        <is>
          <t>S002-딸기</t>
        </is>
      </c>
      <c r="B13" t="inlineStr">
        <is>
          <t>월 영업이익 = 공간 대여자 예상수익 + 사업장 영업이익</t>
        </is>
      </c>
      <c r="C13" s="9">
        <f>'요약'!W9</f>
        <v/>
      </c>
      <c r="D13" s="9">
        <f>'요약'!Y9+'요약'!AA9</f>
        <v/>
      </c>
      <c r="E13" s="9">
        <f>C13-D13</f>
        <v/>
      </c>
      <c r="F13" s="9" t="n">
        <v>0.5</v>
      </c>
      <c r="G13">
        <f>IF(ABS(E13)&lt;=F13,"PASS","FAIL")</f>
        <v/>
      </c>
    </row>
    <row r="14">
      <c r="A14" t="inlineStr">
        <is>
          <t>S002-딸기</t>
        </is>
      </c>
      <c r="B14" t="inlineStr">
        <is>
          <t>월 총 용수량 = 작물 순소비량 + 배액량 + 기타 용수량</t>
        </is>
      </c>
      <c r="C14" s="14">
        <f>'요약'!Q9</f>
        <v/>
      </c>
      <c r="D14" s="14">
        <f>'요약'!N9+'요약'!O9+'요약'!P9</f>
        <v/>
      </c>
      <c r="E14" s="14">
        <f>C14-D14</f>
        <v/>
      </c>
      <c r="F14" s="14" t="n">
        <v>0.001</v>
      </c>
      <c r="G14">
        <f>IF(ABS(E14)&lt;=F14,"PASS","FAIL")</f>
        <v/>
      </c>
    </row>
    <row r="15">
      <c r="A15" t="inlineStr">
        <is>
          <t>S002-바질</t>
        </is>
      </c>
      <c r="B15" t="inlineStr">
        <is>
          <t>월 영업이익 = 공간 대여자 예상수익 + 사업장 영업이익</t>
        </is>
      </c>
      <c r="C15" s="9">
        <f>'요약'!W10</f>
        <v/>
      </c>
      <c r="D15" s="9">
        <f>'요약'!Y10+'요약'!AA10</f>
        <v/>
      </c>
      <c r="E15" s="9">
        <f>C15-D15</f>
        <v/>
      </c>
      <c r="F15" s="9" t="n">
        <v>0.5</v>
      </c>
      <c r="G15">
        <f>IF(ABS(E15)&lt;=F15,"PASS","FAIL")</f>
        <v/>
      </c>
    </row>
    <row r="16">
      <c r="A16" t="inlineStr">
        <is>
          <t>S002-바질</t>
        </is>
      </c>
      <c r="B16" t="inlineStr">
        <is>
          <t>월 총 용수량 = 작물 순소비량 + 배액량 + 기타 용수량</t>
        </is>
      </c>
      <c r="C16" s="14">
        <f>'요약'!Q10</f>
        <v/>
      </c>
      <c r="D16" s="14">
        <f>'요약'!N10+'요약'!O10+'요약'!P10</f>
        <v/>
      </c>
      <c r="E16" s="14">
        <f>C16-D16</f>
        <v/>
      </c>
      <c r="F16" s="14" t="n">
        <v>0.001</v>
      </c>
      <c r="G16">
        <f>IF(ABS(E16)&lt;=F16,"PASS","FAIL")</f>
        <v/>
      </c>
    </row>
    <row r="17">
      <c r="A17" t="inlineStr">
        <is>
          <t>S003-상추</t>
        </is>
      </c>
      <c r="B17" t="inlineStr">
        <is>
          <t>월 영업이익 = 공간 대여자 예상수익 + 사업장 영업이익</t>
        </is>
      </c>
      <c r="C17" s="9">
        <f>'요약'!W11</f>
        <v/>
      </c>
      <c r="D17" s="9">
        <f>'요약'!Y11+'요약'!AA11</f>
        <v/>
      </c>
      <c r="E17" s="9">
        <f>C17-D17</f>
        <v/>
      </c>
      <c r="F17" s="9" t="n">
        <v>0.5</v>
      </c>
      <c r="G17">
        <f>IF(ABS(E17)&lt;=F17,"PASS","FAIL")</f>
        <v/>
      </c>
    </row>
    <row r="18">
      <c r="A18" t="inlineStr">
        <is>
          <t>S003-상추</t>
        </is>
      </c>
      <c r="B18" t="inlineStr">
        <is>
          <t>월 총 용수량 = 작물 순소비량 + 배액량 + 기타 용수량</t>
        </is>
      </c>
      <c r="C18" s="14">
        <f>'요약'!Q11</f>
        <v/>
      </c>
      <c r="D18" s="14">
        <f>'요약'!N11+'요약'!O11+'요약'!P11</f>
        <v/>
      </c>
      <c r="E18" s="14">
        <f>C18-D18</f>
        <v/>
      </c>
      <c r="F18" s="14" t="n">
        <v>0.001</v>
      </c>
      <c r="G18">
        <f>IF(ABS(E18)&lt;=F18,"PASS","FAIL")</f>
        <v/>
      </c>
    </row>
    <row r="19">
      <c r="A19" t="inlineStr">
        <is>
          <t>S003-딸기</t>
        </is>
      </c>
      <c r="B19" t="inlineStr">
        <is>
          <t>월 영업이익 = 공간 대여자 예상수익 + 사업장 영업이익</t>
        </is>
      </c>
      <c r="C19" s="9">
        <f>'요약'!W12</f>
        <v/>
      </c>
      <c r="D19" s="9">
        <f>'요약'!Y12+'요약'!AA12</f>
        <v/>
      </c>
      <c r="E19" s="9">
        <f>C19-D19</f>
        <v/>
      </c>
      <c r="F19" s="9" t="n">
        <v>0.5</v>
      </c>
      <c r="G19">
        <f>IF(ABS(E19)&lt;=F19,"PASS","FAIL")</f>
        <v/>
      </c>
    </row>
    <row r="20">
      <c r="A20" t="inlineStr">
        <is>
          <t>S003-딸기</t>
        </is>
      </c>
      <c r="B20" t="inlineStr">
        <is>
          <t>월 총 용수량 = 작물 순소비량 + 배액량 + 기타 용수량</t>
        </is>
      </c>
      <c r="C20" s="14">
        <f>'요약'!Q12</f>
        <v/>
      </c>
      <c r="D20" s="14">
        <f>'요약'!N12+'요약'!O12+'요약'!P12</f>
        <v/>
      </c>
      <c r="E20" s="14">
        <f>C20-D20</f>
        <v/>
      </c>
      <c r="F20" s="14" t="n">
        <v>0.001</v>
      </c>
      <c r="G20">
        <f>IF(ABS(E20)&lt;=F20,"PASS","FAIL")</f>
        <v/>
      </c>
    </row>
    <row r="21">
      <c r="A21" t="inlineStr">
        <is>
          <t>S003-바질</t>
        </is>
      </c>
      <c r="B21" t="inlineStr">
        <is>
          <t>월 영업이익 = 공간 대여자 예상수익 + 사업장 영업이익</t>
        </is>
      </c>
      <c r="C21" s="9">
        <f>'요약'!W13</f>
        <v/>
      </c>
      <c r="D21" s="9">
        <f>'요약'!Y13+'요약'!AA13</f>
        <v/>
      </c>
      <c r="E21" s="9">
        <f>C21-D21</f>
        <v/>
      </c>
      <c r="F21" s="9" t="n">
        <v>0.5</v>
      </c>
      <c r="G21">
        <f>IF(ABS(E21)&lt;=F21,"PASS","FAIL")</f>
        <v/>
      </c>
    </row>
    <row r="22">
      <c r="A22" t="inlineStr">
        <is>
          <t>S003-바질</t>
        </is>
      </c>
      <c r="B22" t="inlineStr">
        <is>
          <t>월 총 용수량 = 작물 순소비량 + 배액량 + 기타 용수량</t>
        </is>
      </c>
      <c r="C22" s="14">
        <f>'요약'!Q13</f>
        <v/>
      </c>
      <c r="D22" s="14">
        <f>'요약'!N13+'요약'!O13+'요약'!P13</f>
        <v/>
      </c>
      <c r="E22" s="14">
        <f>C22-D22</f>
        <v/>
      </c>
      <c r="F22" s="14" t="n">
        <v>0.001</v>
      </c>
      <c r="G22">
        <f>IF(ABS(E22)&lt;=F22,"PASS","FAIL")</f>
        <v/>
      </c>
    </row>
  </sheetData>
  <mergeCells count="1">
    <mergeCell ref="A1:G1"/>
  </mergeCells>
  <conditionalFormatting sqref="G5:G22">
    <cfRule type="expression" priority="1" dxfId="1">
      <formula>$G5="PASS"</formula>
    </cfRule>
    <cfRule type="expression" priority="2" dxfId="0">
      <formula>$G5="FAIL"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2026-08-01T03:56:16Z</dcterms:created>
  <dcterms:modified xmlns:dcterms="http://purl.org/dc/terms/" xmlns:xsi="http://www.w3.org/2001/XMLSchema-instance" xsi:type="dcterms:W3CDTF">2026-08-01T03:56:16Z</dcterms:modified>
</cp:coreProperties>
</file>